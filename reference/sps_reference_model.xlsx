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Decisions" sheetId="3" state="visible" r:id="rId5"/>
    <sheet name="Dynamics" sheetId="4" state="visible" r:id="rId6"/>
    <sheet name="Financials" sheetId="5" state="visible" r:id="rId7"/>
    <sheet name="Outpu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<sst xmlns="http://schemas.openxmlformats.org/spreadsheetml/2006/main" count="330" uniqueCount="156">
  <si>
    <t xml:space="preserve">SPS Growth Model — Reference Spreadsheet</t>
  </si>
  <si>
    <t xml:space="preserve">Purpose</t>
  </si>
  <si>
    <t xml:space="preserve">Independent Excel implementation of Section 3 of the SPS Growth Model Requirements Document.</t>
  </si>
  <si>
    <t xml:space="preserve">This file is the authoritative reference the TypeScript simulation engine must match to the cent.</t>
  </si>
  <si>
    <t xml:space="preserve">The CI calibration test at reference/calibration/calibration.test.ts uses the CSV output.</t>
  </si>
  <si>
    <t xml:space="preserve">Scenario</t>
  </si>
  <si>
    <t xml:space="preserve">Source: scenario.illustrative.json (name: SPS Illustrative Scenario v0.1)</t>
  </si>
  <si>
    <t xml:space="preserve">Horizon: 10 years, base year 2026, 6 business lines.</t>
  </si>
  <si>
    <t xml:space="preserve">Decision policy (baseline)</t>
  </si>
  <si>
    <t xml:space="preserve">Rock allocation: held constant at the level required to operate each line at its initial capacity.</t>
  </si>
  <si>
    <t xml:space="preserve">Capital expenditure: zero for every line and every year.</t>
  </si>
  <si>
    <t xml:space="preserve">R&amp;D spending: zero for every line and every year.</t>
  </si>
  <si>
    <t xml:space="preserve">This is the simplest non-trivial policy: dynamics play out (capacity depreciates, prices erode,</t>
  </si>
  <si>
    <t xml:space="preserve">initial pipeline matures) but no new investments are made. Changing decisions in the Decisions</t>
  </si>
  <si>
    <t xml:space="preserve">sheet recomputes every downstream number via formulas.</t>
  </si>
  <si>
    <t xml:space="preserve">Sheet map</t>
  </si>
  <si>
    <t xml:space="preserve">Inputs       — corporate parameters, rock supply, depreciation, per-line parameters</t>
  </si>
  <si>
    <t xml:space="preserve">Decisions    — r, I, R for each line and year (editable)</t>
  </si>
  <si>
    <t xml:space="preserve">Dynamics     — per-line state evolution K, Q, V, c, p, P, ΔRev, Rev, COGS, EBITDA</t>
  </si>
  <si>
    <t xml:space="preserve">Financials   — EBITDA total, FCF, WACC, NPV, terminal value</t>
  </si>
  <si>
    <t xml:space="preserve">Outputs      — summary table (exported to CSV for calibration test)</t>
  </si>
  <si>
    <t xml:space="preserve">Color convention</t>
  </si>
  <si>
    <t xml:space="preserve">Blue = hardcoded input. Black = formula. Green = cross-sheet link. Yellow = assumption flag.</t>
  </si>
  <si>
    <t xml:space="preserve">Revision</t>
  </si>
  <si>
    <t xml:space="preserve">v1.0 — reference model built against scenario.illustrative.json.</t>
  </si>
  <si>
    <t xml:space="preserve">Parameter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</si>
  <si>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</si>
  <si>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</si>
  <si>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</si>
  <si>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</si>
  <si>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</si>
  <si>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</si>
  <si>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</si>
  <si>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</si>
  <si>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</si>
  <si>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</si>
  <si>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</si>
  <si>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Corporate</t>
  </si>
  <si>
    <t xml:space="preserve">Tax rate (Tc)</t>
  </si>
  <si>
    <t xml:space="preserve">Cost of debt (rD)</t>
  </si>
  <si>
    <t xml:space="preserve">Cost of equity (rE)</t>
  </si>
  <si>
    <t xml:space="preserve">Equity 0 (E0, $M)</t>
  </si>
  <si>
    <t xml:space="preserve">Debt 0 (D0, $M)</t>
  </si>
  <si>
    <t xml:space="preserve">Leverage ceiling (Lmax)</t>
  </si>
  <si>
    <t xml:space="preserve">Terminal growth (gT)</t>
  </si>
  <si>
    <t xml:space="preserve">Depreciation ($M)</t>
  </si>
  <si>
    <t xml:space="preserve">Rock supply (kt)</t>
  </si>
  <si>
    <t xml:space="preserve">Can raise debt</t>
  </si>
  <si>
    <t xml:space="preserve">Business Lines</t>
  </si>
  <si>
    <t xml:space="preserve">USS</t>
  </si>
  <si>
    <t xml:space="preserve">SPN</t>
  </si>
  <si>
    <t xml:space="preserve">FIS</t>
  </si>
  <si>
    <t xml:space="preserve">EMS</t>
  </si>
  <si>
    <t xml:space="preserve">ANS</t>
  </si>
  <si>
    <t xml:space="preserve">NPS</t>
  </si>
  <si>
    <t xml:space="preserve">Name</t>
  </si>
  <si>
    <t xml:space="preserve">Upstream Specialty Solutions and LFP</t>
  </si>
  <si>
    <t xml:space="preserve">Specialty Plant Nutrition</t>
  </si>
  <si>
    <t xml:space="preserve">Food and Industrial Salts Solutions</t>
  </si>
  <si>
    <t xml:space="preserve">Energy Materials Solutions</t>
  </si>
  <si>
    <t xml:space="preserve">Animal Nutrition Solutions</t>
  </si>
  <si>
    <t xml:space="preserve">Non-P Products Solutions</t>
  </si>
  <si>
    <t xml:space="preserve">Short code</t>
  </si>
  <si>
    <t xml:space="preserve">Is legacy</t>
  </si>
  <si>
    <t xml:space="preserve">Phase</t>
  </si>
  <si>
    <t xml:space="preserve">Exploratory</t>
  </si>
  <si>
    <t xml:space="preserve">Build</t>
  </si>
  <si>
    <t xml:space="preserve">Run plus Growth</t>
  </si>
  <si>
    <t xml:space="preserve">Yield (η)</t>
  </si>
  <si>
    <t xml:space="preserve">Capex $/kt (κ)</t>
  </si>
  <si>
    <t xml:space="preserve">Lead time (τ)</t>
  </si>
  <si>
    <t xml:space="preserve">Cap depr (δ)</t>
  </si>
  <si>
    <t xml:space="preserve">Base unit cost c0 ($M/kt)</t>
  </si>
  <si>
    <t xml:space="preserve">Learning β</t>
  </si>
  <si>
    <t xml:space="preserve">Base cum vol V0 (kt)</t>
  </si>
  <si>
    <t xml:space="preserve">Base price p0 ($M/kt)</t>
  </si>
  <si>
    <t xml:space="preserve">Price erosion π</t>
  </si>
  <si>
    <t xml:space="preserve">R&amp;D productivity μ</t>
  </si>
  <si>
    <t xml:space="preserve">R&amp;D lag λ</t>
  </si>
  <si>
    <t xml:space="preserve">R&amp;D conversion φ</t>
  </si>
  <si>
    <t xml:space="preserve">Legacy floor (kt)</t>
  </si>
  <si>
    <t xml:space="preserve">Initial capacity K0 (kt)</t>
  </si>
  <si>
    <t xml:space="preserve">Initial pipeline P0 ($M)</t>
  </si>
  <si>
    <t xml:space="preserve">Operating expenses ($M/yr)</t>
  </si>
  <si>
    <t xml:space="preserve">Year</t>
  </si>
  <si>
    <t xml:space="preserve">Decision</t>
  </si>
  <si>
    <t xml:space="preserve">Line</t>
  </si>
  <si>
    <t xml:space="preserve">Rock r (kt)</t>
  </si>
  <si>
    <t xml:space="preserve">r</t>
  </si>
  <si>
    <t xml:space="preserve">Capex I ($M)</t>
  </si>
  <si>
    <t xml:space="preserve">I</t>
  </si>
  <si>
    <t xml:space="preserve">R&amp;D R ($M)</t>
  </si>
  <si>
    <t xml:space="preserve">R</t>
  </si>
  <si>
    <t xml:space="preserve">Variable</t>
  </si>
  <si>
    <t xml:space="preserve">K</t>
  </si>
  <si>
    <t xml:space="preserve">Q</t>
  </si>
  <si>
    <t xml:space="preserve">V</t>
  </si>
  <si>
    <t xml:space="preserve">c</t>
  </si>
  <si>
    <t xml:space="preserve">p</t>
  </si>
  <si>
    <t xml:space="preserve">P</t>
  </si>
  <si>
    <t xml:space="preserve">dRev</t>
  </si>
  <si>
    <t xml:space="preserve">Rev</t>
  </si>
  <si>
    <t xml:space="preserve">COGS</t>
  </si>
  <si>
    <t xml:space="preserve">EBITDA</t>
  </si>
  <si>
    <t xml:space="preserve">Metric</t>
  </si>
  <si>
    <t xml:space="preserve">EBITDA USS ($M)</t>
  </si>
  <si>
    <t xml:space="preserve">EBITDA SPN ($M)</t>
  </si>
  <si>
    <t xml:space="preserve">EBITDA FIS ($M)</t>
  </si>
  <si>
    <t xml:space="preserve">EBITDA EMS ($M)</t>
  </si>
  <si>
    <t xml:space="preserve">EBITDA ANS ($M)</t>
  </si>
  <si>
    <t xml:space="preserve">EBITDA NPS ($M)</t>
  </si>
  <si>
    <t xml:space="preserve">EBITDA total ($M)</t>
  </si>
  <si>
    <t xml:space="preserve">Revenue total ($M)</t>
  </si>
  <si>
    <t xml:space="preserve">Capex total ($M)</t>
  </si>
  <si>
    <t xml:space="preserve">FCF ($M)</t>
  </si>
  <si>
    <t xml:space="preserve">V0 ($M)</t>
  </si>
  <si>
    <t xml:space="preserve">WACC</t>
  </si>
  <si>
    <t xml:space="preserve">Discount factor</t>
  </si>
  <si>
    <t xml:space="preserve">Discounted FCF ($M)</t>
  </si>
  <si>
    <t xml:space="preserve">Terminal growth gT</t>
  </si>
  <si>
    <t xml:space="preserve">FCF T+1 ($M)</t>
  </si>
  <si>
    <t xml:space="preserve">Terminal value TV_T ($M)</t>
  </si>
  <si>
    <t xml:space="preserve">Discounted TV ($M)</t>
  </si>
  <si>
    <t xml:space="preserve">NPV excl. TV ($M)</t>
  </si>
  <si>
    <t xml:space="preserve">NPV incl. TV ($M)</t>
  </si>
  <si>
    <t xml:space="preserve">Rock allocated total (kt)</t>
  </si>
  <si>
    <t xml:space="preserve">Revenue by line ($M)</t>
  </si>
  <si>
    <t xml:space="preserve">Revenue USS</t>
  </si>
  <si>
    <t xml:space="preserve">Revenue SPN</t>
  </si>
  <si>
    <t xml:space="preserve">Revenue FIS</t>
  </si>
  <si>
    <t xml:space="preserve">Revenue EMS</t>
  </si>
  <si>
    <t xml:space="preserve">Revenue ANS</t>
  </si>
  <si>
    <t xml:space="preserve">Revenue NPS</t>
  </si>
  <si>
    <t xml:space="preserve">EBITDA by line ($M)</t>
  </si>
  <si>
    <t xml:space="preserve">EBITDA USS</t>
  </si>
  <si>
    <t xml:space="preserve">EBITDA SPN</t>
  </si>
  <si>
    <t xml:space="preserve">EBITDA FIS</t>
  </si>
  <si>
    <t xml:space="preserve">EBITDA EMS</t>
  </si>
  <si>
    <t xml:space="preserve">EBITDA ANS</t>
  </si>
  <si>
    <t xml:space="preserve">EBITDA NPS</t>
  </si>
  <si>
    <t xml:space="preserve">Volume (Q) by line (kt)</t>
  </si>
  <si>
    <t xml:space="preserve">Q USS</t>
  </si>
  <si>
    <t xml:space="preserve">Q SPN</t>
  </si>
  <si>
    <t xml:space="preserve">Q FIS</t>
  </si>
  <si>
    <t xml:space="preserve">Q EMS</t>
  </si>
  <si>
    <t xml:space="preserve">Q ANS</t>
  </si>
  <si>
    <t xml:space="preserve">Q NPS</t>
  </si>
  <si>
    <t xml:space="preserve">Capacity (K) by line (kt)</t>
  </si>
  <si>
    <t xml:space="preserve">K USS</t>
  </si>
  <si>
    <t xml:space="preserve">K SPN</t>
  </si>
  <si>
    <t xml:space="preserve">K FIS</t>
  </si>
  <si>
    <t xml:space="preserve">K EMS</t>
  </si>
  <si>
    <t xml:space="preserve">K ANS</t>
  </si>
  <si>
    <t xml:space="preserve">K NPS</t>
  </si>
  <si>
    <t xml:space="preserve">Headline</t>
  </si>
  <si>
    <t xml:space="preserve">Terminal value ($M)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</si>
</sst>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#,##0"/>
    <numFmt numFmtId="167" formatCode="0.00"/>
    <numFmt numFmtId="168" formatCode="#,##0.0"/>
    <numFmt numFmtId="169" formatCode="#,##0.00"/>
    <numFmt numFmtId="170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20" customFormat="false" ht="15" hidden="false" customHeight="false" outlineLevel="0" collapsed="false">
      <c r="A20" s="1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5" customFormat="false" ht="15" hidden="false" customHeight="false" outlineLevel="0" collapsed="false">
      <c r="A25" s="0" t="s">
        <v>20</v>
      </c>
    </row>
    <row r="27" customFormat="false" ht="15" hidden="false" customHeight="false" outlineLevel="0" collapsed="false">
      <c r="A27" s="1" t="s">
        <v>21</v>
      </c>
    </row>
    <row r="28" customFormat="false" ht="15" hidden="false" customHeight="false" outlineLevel="0" collapsed="false">
      <c r="A28" s="0" t="s">
        <v>22</v>
      </c>
    </row>
    <row r="30" customFormat="false" ht="15" hidden="false" customHeight="false" outlineLevel="0" collapsed="false">
      <c r="A30" s="1" t="s">
        <v>23</v>
      </c>
    </row>
    <row r="31" customFormat="false" ht="15" hidden="false" customHeight="false" outlineLevel="0" collapsed="false">
      <c r="A31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2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customFormat="false" ht="15" hidden="false" customHeight="false" outlineLevel="0" collapsed="false">
      <c r="A2" s="4" t="s">
        <v>37</v>
      </c>
    </row>
    <row r="3" customFormat="false" ht="15" hidden="false" customHeight="false" outlineLevel="0" collapsed="false">
      <c r="A3" s="1" t="s">
        <v>38</v>
      </c>
      <c r="B3" s="5" t="n">
        <v>0.27</v>
      </c>
    </row>
    <row r="4" customFormat="false" ht="15" hidden="false" customHeight="false" outlineLevel="0" collapsed="false">
      <c r="A4" s="1" t="s">
        <v>39</v>
      </c>
      <c r="B4" s="5" t="n">
        <v>0.06</v>
      </c>
    </row>
    <row r="5" customFormat="false" ht="15" hidden="false" customHeight="false" outlineLevel="0" collapsed="false">
      <c r="A5" s="1" t="s">
        <v>40</v>
      </c>
      <c r="B5" s="5" t="n">
        <v>0.146</v>
      </c>
    </row>
    <row r="6" customFormat="false" ht="15" hidden="false" customHeight="false" outlineLevel="0" collapsed="false">
      <c r="A6" s="1" t="s">
        <v>41</v>
      </c>
      <c r="B6" s="6" t="n">
        <v>750</v>
      </c>
    </row>
    <row r="7" customFormat="false" ht="15" hidden="false" customHeight="false" outlineLevel="0" collapsed="false">
      <c r="A7" s="1" t="s">
        <v>42</v>
      </c>
      <c r="B7" s="6" t="n">
        <v>750</v>
      </c>
    </row>
    <row r="8" customFormat="false" ht="15" hidden="false" customHeight="false" outlineLevel="0" collapsed="false">
      <c r="A8" s="1" t="s">
        <v>43</v>
      </c>
      <c r="B8" s="7" t="n">
        <v>2.5</v>
      </c>
    </row>
    <row r="9" customFormat="false" ht="15" hidden="false" customHeight="false" outlineLevel="0" collapsed="false">
      <c r="A9" s="1" t="s">
        <v>44</v>
      </c>
      <c r="B9" s="5" t="n">
        <v>0.025</v>
      </c>
    </row>
    <row r="11" customFormat="false" ht="15" hidden="false" customHeight="false" outlineLevel="0" collapsed="false">
      <c r="A11" s="1" t="s">
        <v>45</v>
      </c>
      <c r="B11" s="6" t="n">
        <v>60</v>
      </c>
      <c r="C11" s="6" t="n">
        <v>65</v>
      </c>
      <c r="D11" s="6" t="n">
        <v>70</v>
      </c>
      <c r="E11" s="6" t="n">
        <v>78</v>
      </c>
      <c r="F11" s="6" t="n">
        <v>88</v>
      </c>
      <c r="G11" s="6" t="n">
        <v>100</v>
      </c>
      <c r="H11" s="6" t="n">
        <v>115</v>
      </c>
      <c r="I11" s="6" t="n">
        <v>130</v>
      </c>
      <c r="J11" s="6" t="n">
        <v>150</v>
      </c>
      <c r="K11" s="6" t="n">
        <v>170</v>
      </c>
      <c r="L11" s="6" t="n">
        <v>195</v>
      </c>
    </row>
    <row r="12" customFormat="false" ht="15" hidden="false" customHeight="false" outlineLevel="0" collapsed="false">
      <c r="A12" s="1" t="s">
        <v>46</v>
      </c>
      <c r="B12" s="6" t="n">
        <v>1200</v>
      </c>
      <c r="C12" s="6" t="n">
        <v>1500</v>
      </c>
      <c r="D12" s="6" t="n">
        <v>1900</v>
      </c>
      <c r="E12" s="6" t="n">
        <v>2400</v>
      </c>
      <c r="F12" s="6" t="n">
        <v>3000</v>
      </c>
      <c r="G12" s="6" t="n">
        <v>3500</v>
      </c>
      <c r="H12" s="6" t="n">
        <v>4000</v>
      </c>
      <c r="I12" s="6" t="n">
        <v>4400</v>
      </c>
      <c r="J12" s="6" t="n">
        <v>4700</v>
      </c>
      <c r="K12" s="6" t="n">
        <v>4900</v>
      </c>
      <c r="L12" s="6" t="n">
        <v>5000</v>
      </c>
    </row>
    <row r="13" customFormat="false" ht="15" hidden="false" customHeight="false" outlineLevel="0" collapsed="false">
      <c r="A13" s="1" t="s">
        <v>47</v>
      </c>
      <c r="B13" s="8" t="n">
        <v>0</v>
      </c>
      <c r="C13" s="8" t="n">
        <v>0</v>
      </c>
      <c r="D13" s="8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</row>
    <row r="15" customFormat="false" ht="15" hidden="false" customHeight="false" outlineLevel="0" collapsed="false">
      <c r="A15" s="4" t="s">
        <v>48</v>
      </c>
    </row>
    <row r="16" customFormat="false" ht="15" hidden="false" customHeight="false" outlineLevel="0" collapsed="false">
      <c r="A16" s="1" t="s">
        <v>25</v>
      </c>
      <c r="B16" s="3" t="s">
        <v>49</v>
      </c>
      <c r="C16" s="3" t="s">
        <v>50</v>
      </c>
      <c r="D16" s="3" t="s">
        <v>51</v>
      </c>
      <c r="E16" s="3" t="s">
        <v>52</v>
      </c>
      <c r="F16" s="3" t="s">
        <v>53</v>
      </c>
      <c r="G16" s="3" t="s">
        <v>54</v>
      </c>
    </row>
    <row r="17" customFormat="false" ht="15" hidden="false" customHeight="false" outlineLevel="0" collapsed="false">
      <c r="A17" s="1" t="s">
        <v>55</v>
      </c>
      <c r="B17" s="8" t="s">
        <v>56</v>
      </c>
      <c r="C17" s="8" t="s">
        <v>57</v>
      </c>
      <c r="D17" s="8" t="s">
        <v>58</v>
      </c>
      <c r="E17" s="8" t="s">
        <v>59</v>
      </c>
      <c r="F17" s="8" t="s">
        <v>60</v>
      </c>
      <c r="G17" s="8" t="s">
        <v>61</v>
      </c>
    </row>
    <row r="18" customFormat="false" ht="15" hidden="false" customHeight="false" outlineLevel="0" collapsed="false">
      <c r="A18" s="1" t="s">
        <v>62</v>
      </c>
      <c r="B18" s="8" t="s">
        <v>49</v>
      </c>
      <c r="C18" s="8" t="s">
        <v>50</v>
      </c>
      <c r="D18" s="8" t="s">
        <v>51</v>
      </c>
      <c r="E18" s="8" t="s">
        <v>52</v>
      </c>
      <c r="F18" s="8" t="s">
        <v>53</v>
      </c>
      <c r="G18" s="8" t="s">
        <v>54</v>
      </c>
    </row>
    <row r="19" customFormat="false" ht="15" hidden="false" customHeight="false" outlineLevel="0" collapsed="false">
      <c r="A19" s="1" t="s">
        <v>63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1</v>
      </c>
      <c r="G19" s="6" t="n">
        <v>0</v>
      </c>
    </row>
    <row r="20" customFormat="false" ht="15" hidden="false" customHeight="false" outlineLevel="0" collapsed="false">
      <c r="A20" s="1" t="s">
        <v>64</v>
      </c>
      <c r="B20" s="8" t="s">
        <v>65</v>
      </c>
      <c r="C20" s="8" t="s">
        <v>66</v>
      </c>
      <c r="D20" s="8" t="s">
        <v>66</v>
      </c>
      <c r="E20" s="8" t="s">
        <v>65</v>
      </c>
      <c r="F20" s="8" t="s">
        <v>67</v>
      </c>
      <c r="G20" s="8" t="s">
        <v>65</v>
      </c>
    </row>
    <row r="21" customFormat="false" ht="15" hidden="false" customHeight="false" outlineLevel="0" collapsed="false">
      <c r="A21" s="1" t="s">
        <v>68</v>
      </c>
      <c r="B21" s="7" t="n">
        <v>0.45</v>
      </c>
      <c r="C21" s="7" t="n">
        <v>0.85</v>
      </c>
      <c r="D21" s="7" t="n">
        <v>0.75</v>
      </c>
      <c r="E21" s="7" t="n">
        <v>0.3</v>
      </c>
      <c r="F21" s="7" t="n">
        <v>0.9</v>
      </c>
      <c r="G21" s="7" t="n">
        <v>0.5</v>
      </c>
    </row>
    <row r="22" customFormat="false" ht="15" hidden="false" customHeight="false" outlineLevel="0" collapsed="false">
      <c r="A22" s="1" t="s">
        <v>69</v>
      </c>
      <c r="B22" s="7" t="n">
        <v>8</v>
      </c>
      <c r="C22" s="7" t="n">
        <v>1</v>
      </c>
      <c r="D22" s="7" t="n">
        <v>5</v>
      </c>
      <c r="E22" s="7" t="n">
        <v>15</v>
      </c>
      <c r="F22" s="7" t="n">
        <v>0.5</v>
      </c>
      <c r="G22" s="7" t="n">
        <v>12</v>
      </c>
    </row>
    <row r="23" customFormat="false" ht="15" hidden="false" customHeight="false" outlineLevel="0" collapsed="false">
      <c r="A23" s="1" t="s">
        <v>70</v>
      </c>
      <c r="B23" s="6" t="n">
        <v>3</v>
      </c>
      <c r="C23" s="6" t="n">
        <v>1</v>
      </c>
      <c r="D23" s="6" t="n">
        <v>2</v>
      </c>
      <c r="E23" s="6" t="n">
        <v>3</v>
      </c>
      <c r="F23" s="6" t="n">
        <v>2</v>
      </c>
      <c r="G23" s="6" t="n">
        <v>4</v>
      </c>
    </row>
    <row r="24" customFormat="false" ht="15" hidden="false" customHeight="false" outlineLevel="0" collapsed="false">
      <c r="A24" s="1" t="s">
        <v>71</v>
      </c>
      <c r="B24" s="7" t="n">
        <v>0.067</v>
      </c>
      <c r="C24" s="7" t="n">
        <v>0.067</v>
      </c>
      <c r="D24" s="7" t="n">
        <v>0.067</v>
      </c>
      <c r="E24" s="7" t="n">
        <v>0.067</v>
      </c>
      <c r="F24" s="7" t="n">
        <v>0.067</v>
      </c>
      <c r="G24" s="7" t="n">
        <v>0.067</v>
      </c>
    </row>
    <row r="25" customFormat="false" ht="15" hidden="false" customHeight="false" outlineLevel="0" collapsed="false">
      <c r="A25" s="1" t="s">
        <v>72</v>
      </c>
      <c r="B25" s="7" t="n">
        <v>1.7</v>
      </c>
      <c r="C25" s="7" t="n">
        <v>1.1</v>
      </c>
      <c r="D25" s="7" t="n">
        <v>1.6</v>
      </c>
      <c r="E25" s="7" t="n">
        <v>4.8</v>
      </c>
      <c r="F25" s="7" t="n">
        <v>0.6</v>
      </c>
      <c r="G25" s="7" t="n">
        <v>4.5</v>
      </c>
    </row>
    <row r="26" customFormat="false" ht="15" hidden="false" customHeight="false" outlineLevel="0" collapsed="false">
      <c r="A26" s="1" t="s">
        <v>73</v>
      </c>
      <c r="B26" s="5" t="n">
        <v>0.15</v>
      </c>
      <c r="C26" s="5" t="n">
        <v>0.12</v>
      </c>
      <c r="D26" s="5" t="n">
        <v>0.12</v>
      </c>
      <c r="E26" s="5" t="n">
        <v>0.2</v>
      </c>
      <c r="F26" s="5" t="n">
        <v>0.1</v>
      </c>
      <c r="G26" s="5" t="n">
        <v>0.18</v>
      </c>
    </row>
    <row r="27" customFormat="false" ht="15" hidden="false" customHeight="false" outlineLevel="0" collapsed="false">
      <c r="A27" s="1" t="s">
        <v>74</v>
      </c>
      <c r="B27" s="6" t="n">
        <v>1500</v>
      </c>
      <c r="C27" s="6" t="n">
        <v>800</v>
      </c>
      <c r="D27" s="6" t="n">
        <v>200</v>
      </c>
      <c r="E27" s="6" t="n">
        <v>25</v>
      </c>
      <c r="F27" s="6" t="n">
        <v>3000</v>
      </c>
      <c r="G27" s="6" t="n">
        <v>50</v>
      </c>
    </row>
    <row r="28" customFormat="false" ht="15" hidden="false" customHeight="false" outlineLevel="0" collapsed="false">
      <c r="A28" s="1" t="s">
        <v>75</v>
      </c>
      <c r="B28" s="7" t="n">
        <v>2</v>
      </c>
      <c r="C28" s="7" t="n">
        <v>1.5</v>
      </c>
      <c r="D28" s="7" t="n">
        <v>2</v>
      </c>
      <c r="E28" s="7" t="n">
        <v>6</v>
      </c>
      <c r="F28" s="7" t="n">
        <v>1</v>
      </c>
      <c r="G28" s="7" t="n">
        <v>6</v>
      </c>
    </row>
    <row r="29" customFormat="false" ht="15" hidden="false" customHeight="false" outlineLevel="0" collapsed="false">
      <c r="A29" s="1" t="s">
        <v>76</v>
      </c>
      <c r="B29" s="7" t="n">
        <v>0.01</v>
      </c>
      <c r="C29" s="7" t="n">
        <v>0.015</v>
      </c>
      <c r="D29" s="7" t="n">
        <v>0.02</v>
      </c>
      <c r="E29" s="7" t="n">
        <v>0.005</v>
      </c>
      <c r="F29" s="7" t="n">
        <v>0.025</v>
      </c>
      <c r="G29" s="7" t="n">
        <v>0.005</v>
      </c>
    </row>
    <row r="30" customFormat="false" ht="15" hidden="false" customHeight="false" outlineLevel="0" collapsed="false">
      <c r="A30" s="1" t="s">
        <v>77</v>
      </c>
      <c r="B30" s="7" t="n">
        <v>3</v>
      </c>
      <c r="C30" s="7" t="n">
        <v>4</v>
      </c>
      <c r="D30" s="7" t="n">
        <v>2.5</v>
      </c>
      <c r="E30" s="7" t="n">
        <v>3.5</v>
      </c>
      <c r="F30" s="7" t="n">
        <v>2</v>
      </c>
      <c r="G30" s="7" t="n">
        <v>2.5</v>
      </c>
    </row>
    <row r="31" customFormat="false" ht="15" hidden="false" customHeight="false" outlineLevel="0" collapsed="false">
      <c r="A31" s="1" t="s">
        <v>78</v>
      </c>
      <c r="B31" s="6" t="n">
        <v>3</v>
      </c>
      <c r="C31" s="6" t="n">
        <v>2</v>
      </c>
      <c r="D31" s="6" t="n">
        <v>3</v>
      </c>
      <c r="E31" s="6" t="n">
        <v>4</v>
      </c>
      <c r="F31" s="6" t="n">
        <v>2</v>
      </c>
      <c r="G31" s="6" t="n">
        <v>4</v>
      </c>
    </row>
    <row r="32" customFormat="false" ht="15" hidden="false" customHeight="false" outlineLevel="0" collapsed="false">
      <c r="A32" s="1" t="s">
        <v>79</v>
      </c>
      <c r="B32" s="7" t="n">
        <v>0.2</v>
      </c>
      <c r="C32" s="7" t="n">
        <v>0.25</v>
      </c>
      <c r="D32" s="7" t="n">
        <v>0.2</v>
      </c>
      <c r="E32" s="7" t="n">
        <v>0.15</v>
      </c>
      <c r="F32" s="7" t="n">
        <v>0.25</v>
      </c>
      <c r="G32" s="7" t="n">
        <v>0.15</v>
      </c>
    </row>
    <row r="33" customFormat="false" ht="15" hidden="false" customHeight="false" outlineLevel="0" collapsed="false">
      <c r="A33" s="1" t="s">
        <v>80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270</v>
      </c>
      <c r="G33" s="6" t="n">
        <v>0</v>
      </c>
    </row>
    <row r="34" customFormat="false" ht="15" hidden="false" customHeight="false" outlineLevel="0" collapsed="false">
      <c r="A34" s="1" t="s">
        <v>81</v>
      </c>
      <c r="B34" s="6" t="n">
        <v>235</v>
      </c>
      <c r="C34" s="6" t="n">
        <v>120</v>
      </c>
      <c r="D34" s="6" t="n">
        <v>40</v>
      </c>
      <c r="E34" s="6" t="n">
        <v>6</v>
      </c>
      <c r="F34" s="6" t="n">
        <v>350</v>
      </c>
      <c r="G34" s="6" t="n">
        <v>12</v>
      </c>
    </row>
    <row r="35" customFormat="false" ht="15" hidden="false" customHeight="false" outlineLevel="0" collapsed="false">
      <c r="A35" s="1" t="s">
        <v>82</v>
      </c>
      <c r="B35" s="6" t="n">
        <v>40</v>
      </c>
      <c r="C35" s="6" t="n">
        <v>30</v>
      </c>
      <c r="D35" s="6" t="n">
        <v>15</v>
      </c>
      <c r="E35" s="6" t="n">
        <v>50</v>
      </c>
      <c r="F35" s="6" t="n">
        <v>20</v>
      </c>
      <c r="G35" s="6" t="n">
        <v>30</v>
      </c>
    </row>
    <row r="37" customFormat="false" ht="15" hidden="false" customHeight="false" outlineLevel="0" collapsed="false">
      <c r="A37" s="4" t="s">
        <v>83</v>
      </c>
    </row>
    <row r="38" customFormat="false" ht="15" hidden="false" customHeight="false" outlineLevel="0" collapsed="false">
      <c r="A38" s="1" t="s">
        <v>84</v>
      </c>
      <c r="B38" s="3" t="s">
        <v>26</v>
      </c>
      <c r="C38" s="3" t="s">
        <v>27</v>
      </c>
      <c r="D38" s="3" t="s">
        <v>28</v>
      </c>
      <c r="E38" s="3" t="s">
        <v>29</v>
      </c>
      <c r="F38" s="3" t="s">
        <v>30</v>
      </c>
      <c r="G38" s="3" t="s">
        <v>31</v>
      </c>
      <c r="H38" s="3" t="s">
        <v>32</v>
      </c>
      <c r="I38" s="3" t="s">
        <v>33</v>
      </c>
      <c r="J38" s="3" t="s">
        <v>34</v>
      </c>
      <c r="K38" s="3" t="s">
        <v>35</v>
      </c>
      <c r="L38" s="3" t="s">
        <v>36</v>
      </c>
    </row>
    <row r="39" customFormat="false" ht="15" hidden="false" customHeight="false" outlineLevel="0" collapsed="false">
      <c r="A39" s="1" t="s">
        <v>49</v>
      </c>
      <c r="B39" s="6" t="n">
        <v>45</v>
      </c>
      <c r="C39" s="6" t="n">
        <v>48</v>
      </c>
      <c r="D39" s="6" t="n">
        <v>52</v>
      </c>
      <c r="E39" s="6" t="n">
        <v>56</v>
      </c>
      <c r="F39" s="6" t="n">
        <v>60</v>
      </c>
      <c r="G39" s="6" t="n">
        <v>65</v>
      </c>
      <c r="H39" s="6" t="n">
        <v>70</v>
      </c>
      <c r="I39" s="6" t="n">
        <v>75</v>
      </c>
      <c r="J39" s="6" t="n">
        <v>80</v>
      </c>
      <c r="K39" s="6" t="n">
        <v>85</v>
      </c>
      <c r="L39" s="6" t="n">
        <v>90</v>
      </c>
    </row>
    <row r="40" customFormat="false" ht="15" hidden="false" customHeight="false" outlineLevel="0" collapsed="false">
      <c r="A40" s="1" t="s">
        <v>50</v>
      </c>
      <c r="B40" s="6" t="n">
        <v>20</v>
      </c>
      <c r="C40" s="6" t="n">
        <v>22</v>
      </c>
      <c r="D40" s="6" t="n">
        <v>25</v>
      </c>
      <c r="E40" s="6" t="n">
        <v>28</v>
      </c>
      <c r="F40" s="6" t="n">
        <v>32</v>
      </c>
      <c r="G40" s="6" t="n">
        <v>36</v>
      </c>
      <c r="H40" s="6" t="n">
        <v>40</v>
      </c>
      <c r="I40" s="6" t="n">
        <v>44</v>
      </c>
      <c r="J40" s="6" t="n">
        <v>48</v>
      </c>
      <c r="K40" s="6" t="n">
        <v>52</v>
      </c>
      <c r="L40" s="6" t="n">
        <v>56</v>
      </c>
    </row>
    <row r="41" customFormat="false" ht="15" hidden="false" customHeight="false" outlineLevel="0" collapsed="false">
      <c r="A41" s="1" t="s">
        <v>51</v>
      </c>
      <c r="B41" s="6" t="n">
        <v>10</v>
      </c>
      <c r="C41" s="6" t="n">
        <v>12</v>
      </c>
      <c r="D41" s="6" t="n">
        <v>14</v>
      </c>
      <c r="E41" s="6" t="n">
        <v>17</v>
      </c>
      <c r="F41" s="6" t="n">
        <v>20</v>
      </c>
      <c r="G41" s="6" t="n">
        <v>23</v>
      </c>
      <c r="H41" s="6" t="n">
        <v>26</v>
      </c>
      <c r="I41" s="6" t="n">
        <v>29</v>
      </c>
      <c r="J41" s="6" t="n">
        <v>32</v>
      </c>
      <c r="K41" s="6" t="n">
        <v>35</v>
      </c>
      <c r="L41" s="6" t="n">
        <v>38</v>
      </c>
    </row>
    <row r="42" customFormat="false" ht="15" hidden="false" customHeight="false" outlineLevel="0" collapsed="false">
      <c r="A42" s="1" t="s">
        <v>52</v>
      </c>
      <c r="B42" s="6" t="n">
        <v>5</v>
      </c>
      <c r="C42" s="6" t="n">
        <v>7</v>
      </c>
      <c r="D42" s="6" t="n">
        <v>10</v>
      </c>
      <c r="E42" s="6" t="n">
        <v>14</v>
      </c>
      <c r="F42" s="6" t="n">
        <v>19</v>
      </c>
      <c r="G42" s="6" t="n">
        <v>25</v>
      </c>
      <c r="H42" s="6" t="n">
        <v>32</v>
      </c>
      <c r="I42" s="6" t="n">
        <v>40</v>
      </c>
      <c r="J42" s="6" t="n">
        <v>48</v>
      </c>
      <c r="K42" s="6" t="n">
        <v>56</v>
      </c>
      <c r="L42" s="6" t="n">
        <v>65</v>
      </c>
    </row>
    <row r="43" customFormat="false" ht="15" hidden="false" customHeight="false" outlineLevel="0" collapsed="false">
      <c r="A43" s="1" t="s">
        <v>53</v>
      </c>
      <c r="B43" s="6" t="n">
        <v>35</v>
      </c>
      <c r="C43" s="6" t="n">
        <v>38</v>
      </c>
      <c r="D43" s="6" t="n">
        <v>41</v>
      </c>
      <c r="E43" s="6" t="n">
        <v>44</v>
      </c>
      <c r="F43" s="6" t="n">
        <v>48</v>
      </c>
      <c r="G43" s="6" t="n">
        <v>52</v>
      </c>
      <c r="H43" s="6" t="n">
        <v>56</v>
      </c>
      <c r="I43" s="6" t="n">
        <v>60</v>
      </c>
      <c r="J43" s="6" t="n">
        <v>64</v>
      </c>
      <c r="K43" s="6" t="n">
        <v>68</v>
      </c>
      <c r="L43" s="6" t="n">
        <v>72</v>
      </c>
    </row>
    <row r="44" customFormat="false" ht="15" hidden="false" customHeight="false" outlineLevel="0" collapsed="false">
      <c r="A44" s="1" t="s">
        <v>54</v>
      </c>
      <c r="B44" s="6" t="n">
        <v>8</v>
      </c>
      <c r="C44" s="6" t="n">
        <v>10</v>
      </c>
      <c r="D44" s="6" t="n">
        <v>12</v>
      </c>
      <c r="E44" s="6" t="n">
        <v>15</v>
      </c>
      <c r="F44" s="6" t="n">
        <v>18</v>
      </c>
      <c r="G44" s="6" t="n">
        <v>22</v>
      </c>
      <c r="H44" s="6" t="n">
        <v>26</v>
      </c>
      <c r="I44" s="6" t="n">
        <v>30</v>
      </c>
      <c r="J44" s="6" t="n">
        <v>34</v>
      </c>
      <c r="K44" s="6" t="n">
        <v>38</v>
      </c>
      <c r="L44" s="6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14" min="3" style="0" width="10"/>
  </cols>
  <sheetData>
    <row r="1" customFormat="false" ht="15" hidden="false" customHeight="false" outlineLevel="0" collapsed="false">
      <c r="A1" s="1" t="s">
        <v>85</v>
      </c>
      <c r="B1" s="1" t="s">
        <v>86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</row>
    <row r="2" customFormat="false" ht="15" hidden="false" customHeight="false" outlineLevel="0" collapsed="false">
      <c r="A2" s="4" t="s">
        <v>87</v>
      </c>
    </row>
    <row r="3" customFormat="false" ht="15" hidden="false" customHeight="false" outlineLevel="0" collapsed="false">
      <c r="A3" s="9" t="s">
        <v>88</v>
      </c>
      <c r="B3" s="1" t="s">
        <v>49</v>
      </c>
      <c r="C3" s="10" t="n">
        <v>522.2222</v>
      </c>
      <c r="D3" s="10" t="n">
        <v>522.2222</v>
      </c>
      <c r="E3" s="10" t="n">
        <v>522.2222</v>
      </c>
      <c r="F3" s="10" t="n">
        <v>522.2222</v>
      </c>
      <c r="G3" s="10" t="n">
        <v>522.2222</v>
      </c>
      <c r="H3" s="10" t="n">
        <v>522.2222</v>
      </c>
      <c r="I3" s="10" t="n">
        <v>522.2222</v>
      </c>
      <c r="J3" s="10" t="n">
        <v>522.2222</v>
      </c>
      <c r="K3" s="10" t="n">
        <v>522.2222</v>
      </c>
      <c r="L3" s="10" t="n">
        <v>522.2222</v>
      </c>
      <c r="M3" s="10" t="n">
        <v>522.2222</v>
      </c>
    </row>
    <row r="4" customFormat="false" ht="15" hidden="false" customHeight="false" outlineLevel="0" collapsed="false">
      <c r="A4" s="9" t="s">
        <v>88</v>
      </c>
      <c r="B4" s="1" t="s">
        <v>50</v>
      </c>
      <c r="C4" s="10" t="n">
        <v>141.1765</v>
      </c>
      <c r="D4" s="10" t="n">
        <v>141.1765</v>
      </c>
      <c r="E4" s="10" t="n">
        <v>141.1765</v>
      </c>
      <c r="F4" s="10" t="n">
        <v>141.1765</v>
      </c>
      <c r="G4" s="10" t="n">
        <v>141.1765</v>
      </c>
      <c r="H4" s="10" t="n">
        <v>141.1765</v>
      </c>
      <c r="I4" s="10" t="n">
        <v>141.1765</v>
      </c>
      <c r="J4" s="10" t="n">
        <v>141.1765</v>
      </c>
      <c r="K4" s="10" t="n">
        <v>141.1765</v>
      </c>
      <c r="L4" s="10" t="n">
        <v>141.1765</v>
      </c>
      <c r="M4" s="10" t="n">
        <v>141.1765</v>
      </c>
    </row>
    <row r="5" customFormat="false" ht="15" hidden="false" customHeight="false" outlineLevel="0" collapsed="false">
      <c r="A5" s="9" t="s">
        <v>88</v>
      </c>
      <c r="B5" s="1" t="s">
        <v>51</v>
      </c>
      <c r="C5" s="10" t="n">
        <v>53.3333</v>
      </c>
      <c r="D5" s="10" t="n">
        <v>53.3333</v>
      </c>
      <c r="E5" s="10" t="n">
        <v>53.3333</v>
      </c>
      <c r="F5" s="10" t="n">
        <v>53.3333</v>
      </c>
      <c r="G5" s="10" t="n">
        <v>53.3333</v>
      </c>
      <c r="H5" s="10" t="n">
        <v>53.3333</v>
      </c>
      <c r="I5" s="10" t="n">
        <v>53.3333</v>
      </c>
      <c r="J5" s="10" t="n">
        <v>53.3333</v>
      </c>
      <c r="K5" s="10" t="n">
        <v>53.3333</v>
      </c>
      <c r="L5" s="10" t="n">
        <v>53.3333</v>
      </c>
      <c r="M5" s="10" t="n">
        <v>53.3333</v>
      </c>
    </row>
    <row r="6" customFormat="false" ht="15" hidden="false" customHeight="false" outlineLevel="0" collapsed="false">
      <c r="A6" s="9" t="s">
        <v>88</v>
      </c>
      <c r="B6" s="1" t="s">
        <v>52</v>
      </c>
      <c r="C6" s="10" t="n">
        <v>20</v>
      </c>
      <c r="D6" s="10" t="n">
        <v>20</v>
      </c>
      <c r="E6" s="10" t="n">
        <v>20</v>
      </c>
      <c r="F6" s="10" t="n">
        <v>20</v>
      </c>
      <c r="G6" s="10" t="n">
        <v>20</v>
      </c>
      <c r="H6" s="10" t="n">
        <v>20</v>
      </c>
      <c r="I6" s="10" t="n">
        <v>20</v>
      </c>
      <c r="J6" s="10" t="n">
        <v>20</v>
      </c>
      <c r="K6" s="10" t="n">
        <v>20</v>
      </c>
      <c r="L6" s="10" t="n">
        <v>20</v>
      </c>
      <c r="M6" s="10" t="n">
        <v>20</v>
      </c>
    </row>
    <row r="7" customFormat="false" ht="15" hidden="false" customHeight="false" outlineLevel="0" collapsed="false">
      <c r="A7" s="9" t="s">
        <v>88</v>
      </c>
      <c r="B7" s="1" t="s">
        <v>53</v>
      </c>
      <c r="C7" s="10" t="n">
        <v>388.8889</v>
      </c>
      <c r="D7" s="10" t="n">
        <v>388.8889</v>
      </c>
      <c r="E7" s="10" t="n">
        <v>388.8889</v>
      </c>
      <c r="F7" s="10" t="n">
        <v>388.8889</v>
      </c>
      <c r="G7" s="10" t="n">
        <v>388.8889</v>
      </c>
      <c r="H7" s="10" t="n">
        <v>388.8889</v>
      </c>
      <c r="I7" s="10" t="n">
        <v>388.8889</v>
      </c>
      <c r="J7" s="10" t="n">
        <v>388.8889</v>
      </c>
      <c r="K7" s="10" t="n">
        <v>388.8889</v>
      </c>
      <c r="L7" s="10" t="n">
        <v>388.8889</v>
      </c>
      <c r="M7" s="10" t="n">
        <v>388.8889</v>
      </c>
    </row>
    <row r="8" customFormat="false" ht="15" hidden="false" customHeight="false" outlineLevel="0" collapsed="false">
      <c r="A8" s="9" t="s">
        <v>88</v>
      </c>
      <c r="B8" s="1" t="s">
        <v>54</v>
      </c>
      <c r="C8" s="10" t="n">
        <v>24</v>
      </c>
      <c r="D8" s="10" t="n">
        <v>24</v>
      </c>
      <c r="E8" s="10" t="n">
        <v>24</v>
      </c>
      <c r="F8" s="10" t="n">
        <v>24</v>
      </c>
      <c r="G8" s="10" t="n">
        <v>24</v>
      </c>
      <c r="H8" s="10" t="n">
        <v>24</v>
      </c>
      <c r="I8" s="10" t="n">
        <v>24</v>
      </c>
      <c r="J8" s="10" t="n">
        <v>24</v>
      </c>
      <c r="K8" s="10" t="n">
        <v>24</v>
      </c>
      <c r="L8" s="10" t="n">
        <v>24</v>
      </c>
      <c r="M8" s="10" t="n">
        <v>24</v>
      </c>
    </row>
    <row r="10" customFormat="false" ht="15" hidden="false" customHeight="false" outlineLevel="0" collapsed="false">
      <c r="A10" s="4" t="s">
        <v>89</v>
      </c>
    </row>
    <row r="11" customFormat="false" ht="15" hidden="false" customHeight="false" outlineLevel="0" collapsed="false">
      <c r="A11" s="9" t="s">
        <v>90</v>
      </c>
      <c r="B11" s="1" t="s">
        <v>49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 customFormat="false" ht="15" hidden="false" customHeight="false" outlineLevel="0" collapsed="false">
      <c r="A12" s="9" t="s">
        <v>90</v>
      </c>
      <c r="B12" s="1" t="s">
        <v>50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 customFormat="false" ht="15" hidden="false" customHeight="false" outlineLevel="0" collapsed="false">
      <c r="A13" s="9" t="s">
        <v>90</v>
      </c>
      <c r="B13" s="1" t="s">
        <v>51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 customFormat="false" ht="15" hidden="false" customHeight="false" outlineLevel="0" collapsed="false">
      <c r="A14" s="9" t="s">
        <v>90</v>
      </c>
      <c r="B14" s="1" t="s">
        <v>52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 customFormat="false" ht="15" hidden="false" customHeight="false" outlineLevel="0" collapsed="false">
      <c r="A15" s="9" t="s">
        <v>90</v>
      </c>
      <c r="B15" s="1" t="s">
        <v>53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 customFormat="false" ht="15" hidden="false" customHeight="false" outlineLevel="0" collapsed="false">
      <c r="A16" s="9" t="s">
        <v>90</v>
      </c>
      <c r="B16" s="1" t="s">
        <v>54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8" customFormat="false" ht="15" hidden="false" customHeight="false" outlineLevel="0" collapsed="false">
      <c r="A18" s="4" t="s">
        <v>91</v>
      </c>
    </row>
    <row r="19" customFormat="false" ht="15" hidden="false" customHeight="false" outlineLevel="0" collapsed="false">
      <c r="A19" s="9" t="s">
        <v>92</v>
      </c>
      <c r="B19" s="1" t="s">
        <v>49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customFormat="false" ht="15" hidden="false" customHeight="false" outlineLevel="0" collapsed="false">
      <c r="A20" s="9" t="s">
        <v>92</v>
      </c>
      <c r="B20" s="1" t="s">
        <v>50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 customFormat="false" ht="15" hidden="false" customHeight="false" outlineLevel="0" collapsed="false">
      <c r="A21" s="9" t="s">
        <v>92</v>
      </c>
      <c r="B21" s="1" t="s">
        <v>51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</row>
    <row r="22" customFormat="false" ht="15" hidden="false" customHeight="false" outlineLevel="0" collapsed="false">
      <c r="A22" s="9" t="s">
        <v>92</v>
      </c>
      <c r="B22" s="1" t="s">
        <v>52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</row>
    <row r="23" customFormat="false" ht="15" hidden="false" customHeight="false" outlineLevel="0" collapsed="false">
      <c r="A23" s="9" t="s">
        <v>92</v>
      </c>
      <c r="B23" s="1" t="s">
        <v>53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</row>
    <row r="24" customFormat="false" ht="15" hidden="false" customHeight="false" outlineLevel="0" collapsed="false">
      <c r="A24" s="9" t="s">
        <v>92</v>
      </c>
      <c r="B24" s="1" t="s">
        <v>54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14" min="3" style="0" width="10"/>
  </cols>
  <sheetData>
    <row r="1" customFormat="false" ht="15" hidden="false" customHeight="false" outlineLevel="0" collapsed="false">
      <c r="A1" s="1" t="s">
        <v>86</v>
      </c>
      <c r="B1" s="1" t="s">
        <v>93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</row>
    <row r="2" customFormat="false" ht="15" hidden="false" customHeight="false" outlineLevel="0" collapsed="false">
      <c r="A2" s="1" t="s">
        <v>49</v>
      </c>
      <c r="B2" s="9" t="s">
        <v>94</v>
      </c>
      <c r="C2" s="11" t="n">
        <f aca="false">Inputs!B34</f>
        <v>235</v>
      </c>
      <c r="D2" s="11" t="n">
        <f aca="false">(1-Inputs!B24)*C2</f>
        <v>219.255</v>
      </c>
      <c r="E2" s="11" t="n">
        <f aca="false">(1-Inputs!B24)*D2</f>
        <v>204.564915</v>
      </c>
      <c r="F2" s="11" t="n">
        <f aca="false">(1-Inputs!B24)*E2</f>
        <v>190.859065695</v>
      </c>
      <c r="G2" s="11" t="n">
        <f aca="false">(1-Inputs!B24)*F2+(Decisions!C11)/Inputs!B22</f>
        <v>178.071508293435</v>
      </c>
      <c r="H2" s="11" t="n">
        <f aca="false">(1-Inputs!B24)*G2+(Decisions!D11)/Inputs!B22</f>
        <v>166.140717237775</v>
      </c>
      <c r="I2" s="11" t="n">
        <f aca="false">(1-Inputs!B24)*H2+(Decisions!E11)/Inputs!B22</f>
        <v>155.009289182844</v>
      </c>
      <c r="J2" s="11" t="n">
        <f aca="false">(1-Inputs!B24)*I2+(Decisions!F11)/Inputs!B22</f>
        <v>144.623666807593</v>
      </c>
      <c r="K2" s="11" t="n">
        <f aca="false">(1-Inputs!B24)*J2+(Decisions!G11)/Inputs!B22</f>
        <v>134.933881131485</v>
      </c>
      <c r="L2" s="11" t="n">
        <f aca="false">(1-Inputs!B24)*K2+(Decisions!H11)/Inputs!B22</f>
        <v>125.893311095675</v>
      </c>
      <c r="M2" s="11" t="n">
        <f aca="false">(1-Inputs!B24)*L2+(Decisions!I11)/Inputs!B22</f>
        <v>117.458459252265</v>
      </c>
    </row>
    <row r="3" customFormat="false" ht="15" hidden="false" customHeight="false" outlineLevel="0" collapsed="false">
      <c r="B3" s="9" t="s">
        <v>95</v>
      </c>
      <c r="C3" s="11" t="n">
        <f aca="false">MIN(C2,Inputs!B21*Decisions!C3)</f>
        <v>234.99999</v>
      </c>
      <c r="D3" s="11" t="n">
        <f aca="false">MIN(D2,Inputs!B21*Decisions!D3)</f>
        <v>219.255</v>
      </c>
      <c r="E3" s="11" t="n">
        <f aca="false">MIN(E2,Inputs!B21*Decisions!E3)</f>
        <v>204.564915</v>
      </c>
      <c r="F3" s="11" t="n">
        <f aca="false">MIN(F2,Inputs!B21*Decisions!F3)</f>
        <v>190.859065695</v>
      </c>
      <c r="G3" s="11" t="n">
        <f aca="false">MIN(G2,Inputs!B21*Decisions!G3)</f>
        <v>178.071508293435</v>
      </c>
      <c r="H3" s="11" t="n">
        <f aca="false">MIN(H2,Inputs!B21*Decisions!H3)</f>
        <v>166.140717237775</v>
      </c>
      <c r="I3" s="11" t="n">
        <f aca="false">MIN(I2,Inputs!B21*Decisions!I3)</f>
        <v>155.009289182844</v>
      </c>
      <c r="J3" s="11" t="n">
        <f aca="false">MIN(J2,Inputs!B21*Decisions!J3)</f>
        <v>144.623666807593</v>
      </c>
      <c r="K3" s="11" t="n">
        <f aca="false">MIN(K2,Inputs!B21*Decisions!K3)</f>
        <v>134.933881131485</v>
      </c>
      <c r="L3" s="11" t="n">
        <f aca="false">MIN(L2,Inputs!B21*Decisions!L3)</f>
        <v>125.893311095675</v>
      </c>
      <c r="M3" s="11" t="n">
        <f aca="false">MIN(M2,Inputs!B21*Decisions!M3)</f>
        <v>117.458459252265</v>
      </c>
    </row>
    <row r="4" customFormat="false" ht="15" hidden="false" customHeight="false" outlineLevel="0" collapsed="false">
      <c r="B4" s="9" t="s">
        <v>96</v>
      </c>
      <c r="C4" s="12" t="n">
        <f aca="false">Inputs!B27</f>
        <v>1500</v>
      </c>
      <c r="D4" s="12" t="n">
        <f aca="false">C4+C3</f>
        <v>1734.99999</v>
      </c>
      <c r="E4" s="12" t="n">
        <f aca="false">D4+D3</f>
        <v>1954.25499</v>
      </c>
      <c r="F4" s="12" t="n">
        <f aca="false">E4+E3</f>
        <v>2158.819905</v>
      </c>
      <c r="G4" s="12" t="n">
        <f aca="false">F4+F3</f>
        <v>2349.678970695</v>
      </c>
      <c r="H4" s="12" t="n">
        <f aca="false">G4+G3</f>
        <v>2527.75047898844</v>
      </c>
      <c r="I4" s="12" t="n">
        <f aca="false">H4+H3</f>
        <v>2693.89119622621</v>
      </c>
      <c r="J4" s="12" t="n">
        <f aca="false">I4+I3</f>
        <v>2848.90048540905</v>
      </c>
      <c r="K4" s="12" t="n">
        <f aca="false">J4+J3</f>
        <v>2993.52415221665</v>
      </c>
      <c r="L4" s="12" t="n">
        <f aca="false">K4+K3</f>
        <v>3128.45803334813</v>
      </c>
      <c r="M4" s="12" t="n">
        <f aca="false">L4+L3</f>
        <v>3254.35134444381</v>
      </c>
    </row>
    <row r="5" customFormat="false" ht="15" hidden="false" customHeight="false" outlineLevel="0" collapsed="false">
      <c r="B5" s="9" t="s">
        <v>97</v>
      </c>
      <c r="C5" s="13" t="n">
        <f aca="false">Inputs!B25*(C4/Inputs!B27)^(-Inputs!B26)</f>
        <v>1.7</v>
      </c>
      <c r="D5" s="13" t="n">
        <f aca="false">Inputs!B25*(D4/Inputs!B27)^(-Inputs!B26)</f>
        <v>1.66328889803977</v>
      </c>
      <c r="E5" s="13" t="n">
        <f aca="false">Inputs!B25*(E4/Inputs!B27)^(-Inputs!B26)</f>
        <v>1.63386220178663</v>
      </c>
      <c r="F5" s="13" t="n">
        <f aca="false">Inputs!B25*(F4/Inputs!B27)^(-Inputs!B26)</f>
        <v>1.60964516043564</v>
      </c>
      <c r="G5" s="13" t="n">
        <f aca="false">Inputs!B25*(G4/Inputs!B27)^(-Inputs!B26)</f>
        <v>1.58931993466143</v>
      </c>
      <c r="H5" s="13" t="n">
        <f aca="false">Inputs!B25*(H4/Inputs!B27)^(-Inputs!B26)</f>
        <v>1.57199977677472</v>
      </c>
      <c r="I5" s="13" t="n">
        <f aca="false">Inputs!B25*(I4/Inputs!B27)^(-Inputs!B26)</f>
        <v>1.55706091253744</v>
      </c>
      <c r="J5" s="13" t="n">
        <f aca="false">Inputs!B25*(J4/Inputs!B27)^(-Inputs!B26)</f>
        <v>1.54404878636644</v>
      </c>
      <c r="K5" s="13" t="n">
        <f aca="false">Inputs!B25*(K4/Inputs!B27)^(-Inputs!B26)</f>
        <v>1.5326224938113</v>
      </c>
      <c r="L5" s="13" t="n">
        <f aca="false">Inputs!B25*(L4/Inputs!B27)^(-Inputs!B26)</f>
        <v>1.52252018904295</v>
      </c>
      <c r="M5" s="13" t="n">
        <f aca="false">Inputs!B25*(M4/Inputs!B27)^(-Inputs!B26)</f>
        <v>1.51353665951716</v>
      </c>
    </row>
    <row r="6" customFormat="false" ht="15" hidden="false" customHeight="false" outlineLevel="0" collapsed="false">
      <c r="B6" s="9" t="s">
        <v>98</v>
      </c>
      <c r="C6" s="13" t="n">
        <f aca="false">Inputs!B28</f>
        <v>2</v>
      </c>
      <c r="D6" s="13" t="n">
        <f aca="false">C6*(1-Inputs!B29)+C8/MAX(C3,1)</f>
        <v>1.98</v>
      </c>
      <c r="E6" s="13" t="n">
        <f aca="false">D6*(1-Inputs!B29)+D8/MAX(D3,1)</f>
        <v>1.9602</v>
      </c>
      <c r="F6" s="13" t="n">
        <f aca="false">E6*(1-Inputs!B29)+E8/MAX(E3,1)</f>
        <v>1.940598</v>
      </c>
      <c r="G6" s="13" t="n">
        <f aca="false">F6*(1-Inputs!B29)+F8/MAX(F3,1)</f>
        <v>1.96310776537405</v>
      </c>
      <c r="H6" s="13" t="n">
        <f aca="false">G6*(1-Inputs!B29)+G8/MAX(G3,1)</f>
        <v>1.98840245982539</v>
      </c>
      <c r="I6" s="13" t="n">
        <f aca="false">H6*(1-Inputs!B29)+H8/MAX(H3,1)</f>
        <v>2.01667038818007</v>
      </c>
      <c r="J6" s="13" t="n">
        <f aca="false">I6*(1-Inputs!B29)+I8/MAX(I3,1)</f>
        <v>2.04811349453721</v>
      </c>
      <c r="K6" s="13" t="n">
        <f aca="false">J6*(1-Inputs!B29)+J8/MAX(J3,1)</f>
        <v>2.07188514436264</v>
      </c>
      <c r="L6" s="13" t="n">
        <f aca="false">K6*(1-Inputs!B29)+K8/MAX(K3,1)</f>
        <v>2.08673927103059</v>
      </c>
      <c r="M6" s="13" t="n">
        <f aca="false">L6*(1-Inputs!B29)+L8/MAX(L3,1)</f>
        <v>2.09129022638143</v>
      </c>
    </row>
    <row r="7" customFormat="false" ht="15" hidden="false" customHeight="false" outlineLevel="0" collapsed="false">
      <c r="B7" s="9" t="s">
        <v>99</v>
      </c>
      <c r="C7" s="11" t="n">
        <f aca="false">Inputs!B35</f>
        <v>40</v>
      </c>
      <c r="D7" s="11" t="n">
        <f aca="false">MAX(0,C7+Inputs!B30*Decisions!C19)</f>
        <v>40</v>
      </c>
      <c r="E7" s="11" t="n">
        <f aca="false">MAX(0,D7+Inputs!B30*Decisions!D19)</f>
        <v>40</v>
      </c>
      <c r="F7" s="11" t="n">
        <f aca="false">MAX(0,E7+Inputs!B30*Decisions!E19)</f>
        <v>40</v>
      </c>
      <c r="G7" s="11" t="n">
        <f aca="false">MAX(0,F7+Inputs!B30*Decisions!F19-Inputs!B32*C7)</f>
        <v>32</v>
      </c>
      <c r="H7" s="11" t="n">
        <f aca="false">MAX(0,G7+Inputs!B30*Decisions!G19-Inputs!B32*D7)</f>
        <v>24</v>
      </c>
      <c r="I7" s="11" t="n">
        <f aca="false">MAX(0,H7+Inputs!B30*Decisions!H19-Inputs!B32*E7)</f>
        <v>16</v>
      </c>
      <c r="J7" s="11" t="n">
        <f aca="false">MAX(0,I7+Inputs!B30*Decisions!I19-Inputs!B32*F7)</f>
        <v>8</v>
      </c>
      <c r="K7" s="11" t="n">
        <f aca="false">MAX(0,J7+Inputs!B30*Decisions!J19-Inputs!B32*G7)</f>
        <v>1.6</v>
      </c>
      <c r="L7" s="11" t="n">
        <f aca="false">MAX(0,K7+Inputs!B30*Decisions!K19-Inputs!B32*H7)</f>
        <v>0</v>
      </c>
      <c r="M7" s="11" t="n">
        <f aca="false">MAX(0,L7+Inputs!B30*Decisions!L19-Inputs!B32*I7)</f>
        <v>0</v>
      </c>
    </row>
    <row r="8" customFormat="false" ht="15" hidden="false" customHeight="false" outlineLevel="0" collapsed="false">
      <c r="B8" s="9" t="s">
        <v>100</v>
      </c>
      <c r="C8" s="11" t="n">
        <v>0</v>
      </c>
      <c r="D8" s="11" t="n">
        <v>0</v>
      </c>
      <c r="E8" s="11" t="n">
        <v>0</v>
      </c>
      <c r="F8" s="11" t="n">
        <f aca="false">Inputs!B32*C7</f>
        <v>8</v>
      </c>
      <c r="G8" s="11" t="n">
        <f aca="false">Inputs!B32*D7</f>
        <v>8</v>
      </c>
      <c r="H8" s="11" t="n">
        <f aca="false">Inputs!B32*E7</f>
        <v>8</v>
      </c>
      <c r="I8" s="11" t="n">
        <f aca="false">Inputs!B32*F7</f>
        <v>8</v>
      </c>
      <c r="J8" s="11" t="n">
        <f aca="false">Inputs!B32*G7</f>
        <v>6.4</v>
      </c>
      <c r="K8" s="11" t="n">
        <f aca="false">Inputs!B32*H7</f>
        <v>4.8</v>
      </c>
      <c r="L8" s="11" t="n">
        <f aca="false">Inputs!B32*I7</f>
        <v>3.2</v>
      </c>
      <c r="M8" s="11" t="n">
        <f aca="false">Inputs!B32*J7</f>
        <v>1.6</v>
      </c>
    </row>
    <row r="9" customFormat="false" ht="15" hidden="false" customHeight="false" outlineLevel="0" collapsed="false">
      <c r="B9" s="9" t="s">
        <v>101</v>
      </c>
      <c r="C9" s="11" t="n">
        <f aca="false">C6*C3</f>
        <v>469.99998</v>
      </c>
      <c r="D9" s="11" t="n">
        <f aca="false">D6*D3</f>
        <v>434.1249</v>
      </c>
      <c r="E9" s="11" t="n">
        <f aca="false">E6*E3</f>
        <v>400.988146383</v>
      </c>
      <c r="F9" s="11" t="n">
        <f aca="false">F6*F3</f>
        <v>370.380721169586</v>
      </c>
      <c r="G9" s="11" t="n">
        <f aca="false">G6*G3</f>
        <v>349.573560722711</v>
      </c>
      <c r="H9" s="11" t="n">
        <f aca="false">H6*H3</f>
        <v>330.354610832747</v>
      </c>
      <c r="I9" s="11" t="n">
        <f aca="false">I6*I3</f>
        <v>312.602643387883</v>
      </c>
      <c r="J9" s="11" t="n">
        <f aca="false">J6*J3</f>
        <v>296.205683618086</v>
      </c>
      <c r="K9" s="11" t="n">
        <f aca="false">K6*K3</f>
        <v>279.567503787518</v>
      </c>
      <c r="L9" s="11" t="n">
        <f aca="false">L6*L3</f>
        <v>262.706516223416</v>
      </c>
      <c r="M9" s="11" t="n">
        <f aca="false">M6*M3</f>
        <v>245.639727840083</v>
      </c>
    </row>
    <row r="10" customFormat="false" ht="15" hidden="false" customHeight="false" outlineLevel="0" collapsed="false">
      <c r="B10" s="9" t="s">
        <v>102</v>
      </c>
      <c r="C10" s="11" t="n">
        <f aca="false">C5*C3</f>
        <v>399.499983</v>
      </c>
      <c r="D10" s="11" t="n">
        <f aca="false">D5*D3</f>
        <v>364.684407339709</v>
      </c>
      <c r="E10" s="11" t="n">
        <f aca="false">E5*E3</f>
        <v>334.230882430194</v>
      </c>
      <c r="F10" s="11" t="n">
        <f aca="false">F5*F3</f>
        <v>307.215371421225</v>
      </c>
      <c r="G10" s="11" t="n">
        <f aca="false">G5*G3</f>
        <v>283.012597925985</v>
      </c>
      <c r="H10" s="11" t="n">
        <f aca="false">H5*H3</f>
        <v>261.173170410974</v>
      </c>
      <c r="I10" s="11" t="n">
        <f aca="false">I5*I3</f>
        <v>241.35890526682</v>
      </c>
      <c r="J10" s="11" t="n">
        <f aca="false">J5*J3</f>
        <v>223.30599721413</v>
      </c>
      <c r="K10" s="11" t="n">
        <f aca="false">K5*K3</f>
        <v>206.802701399374</v>
      </c>
      <c r="L10" s="11" t="n">
        <f aca="false">L5*L3</f>
        <v>191.67510780863</v>
      </c>
      <c r="M10" s="11" t="n">
        <f aca="false">M5*M3</f>
        <v>177.777684048706</v>
      </c>
    </row>
    <row r="11" customFormat="false" ht="15" hidden="false" customHeight="false" outlineLevel="0" collapsed="false">
      <c r="B11" s="9" t="s">
        <v>103</v>
      </c>
      <c r="C11" s="11" t="n">
        <f aca="false">C9-C10-Inputs!B39-Decisions!C19</f>
        <v>25.499997</v>
      </c>
      <c r="D11" s="11" t="n">
        <f aca="false">D9-D10-Inputs!C39-Decisions!D19</f>
        <v>21.4404926602912</v>
      </c>
      <c r="E11" s="11" t="n">
        <f aca="false">E9-E10-Inputs!D39-Decisions!E19</f>
        <v>14.7572639528057</v>
      </c>
      <c r="F11" s="11" t="n">
        <f aca="false">F9-F10-Inputs!E39-Decisions!F19</f>
        <v>7.16534974836105</v>
      </c>
      <c r="G11" s="11" t="n">
        <f aca="false">G9-G10-Inputs!F39-Decisions!G19</f>
        <v>6.56096279672653</v>
      </c>
      <c r="H11" s="11" t="n">
        <f aca="false">H9-H10-Inputs!G39-Decisions!H19</f>
        <v>4.18144042177278</v>
      </c>
      <c r="I11" s="11" t="n">
        <f aca="false">I9-I10-Inputs!H39-Decisions!I19</f>
        <v>1.24373812106344</v>
      </c>
      <c r="J11" s="11" t="n">
        <f aca="false">J9-J10-Inputs!I39-Decisions!J19</f>
        <v>-2.10031359604355</v>
      </c>
      <c r="K11" s="11" t="n">
        <f aca="false">K9-K10-Inputs!J39-Decisions!K19</f>
        <v>-7.23519761185617</v>
      </c>
      <c r="L11" s="11" t="n">
        <f aca="false">L9-L10-Inputs!K39-Decisions!L19</f>
        <v>-13.9685915852139</v>
      </c>
      <c r="M11" s="11" t="n">
        <f aca="false">M9-M10-Inputs!L39-Decisions!M19</f>
        <v>-22.1379562086228</v>
      </c>
    </row>
    <row r="13" customFormat="false" ht="15" hidden="false" customHeight="false" outlineLevel="0" collapsed="false">
      <c r="A13" s="1" t="s">
        <v>50</v>
      </c>
      <c r="B13" s="9" t="s">
        <v>94</v>
      </c>
      <c r="C13" s="11" t="n">
        <f aca="false">Inputs!C34</f>
        <v>120</v>
      </c>
      <c r="D13" s="11" t="n">
        <f aca="false">(1-Inputs!C24)*C13</f>
        <v>111.96</v>
      </c>
      <c r="E13" s="11" t="n">
        <f aca="false">(1-Inputs!C24)*D13+(Decisions!C12)/Inputs!C22</f>
        <v>104.45868</v>
      </c>
      <c r="F13" s="11" t="n">
        <f aca="false">(1-Inputs!C24)*E13+(Decisions!D12)/Inputs!C22</f>
        <v>97.45994844</v>
      </c>
      <c r="G13" s="11" t="n">
        <f aca="false">(1-Inputs!C24)*F13+(Decisions!E12)/Inputs!C22</f>
        <v>90.93013189452</v>
      </c>
      <c r="H13" s="11" t="n">
        <f aca="false">(1-Inputs!C24)*G13+(Decisions!F12)/Inputs!C22</f>
        <v>84.8378130575872</v>
      </c>
      <c r="I13" s="11" t="n">
        <f aca="false">(1-Inputs!C24)*H13+(Decisions!G12)/Inputs!C22</f>
        <v>79.1536795827288</v>
      </c>
      <c r="J13" s="11" t="n">
        <f aca="false">(1-Inputs!C24)*I13+(Decisions!H12)/Inputs!C22</f>
        <v>73.850383050686</v>
      </c>
      <c r="K13" s="11" t="n">
        <f aca="false">(1-Inputs!C24)*J13+(Decisions!I12)/Inputs!C22</f>
        <v>68.9024073862901</v>
      </c>
      <c r="L13" s="11" t="n">
        <f aca="false">(1-Inputs!C24)*K13+(Decisions!J12)/Inputs!C22</f>
        <v>64.2859460914086</v>
      </c>
      <c r="M13" s="11" t="n">
        <f aca="false">(1-Inputs!C24)*L13+(Decisions!K12)/Inputs!C22</f>
        <v>59.9787877032843</v>
      </c>
    </row>
    <row r="14" customFormat="false" ht="15" hidden="false" customHeight="false" outlineLevel="0" collapsed="false">
      <c r="B14" s="9" t="s">
        <v>95</v>
      </c>
      <c r="C14" s="11" t="n">
        <f aca="false">MIN(C13,Inputs!C21*Decisions!C4)</f>
        <v>120</v>
      </c>
      <c r="D14" s="11" t="n">
        <f aca="false">MIN(D13,Inputs!C21*Decisions!D4)</f>
        <v>111.96</v>
      </c>
      <c r="E14" s="11" t="n">
        <f aca="false">MIN(E13,Inputs!C21*Decisions!E4)</f>
        <v>104.45868</v>
      </c>
      <c r="F14" s="11" t="n">
        <f aca="false">MIN(F13,Inputs!C21*Decisions!F4)</f>
        <v>97.45994844</v>
      </c>
      <c r="G14" s="11" t="n">
        <f aca="false">MIN(G13,Inputs!C21*Decisions!G4)</f>
        <v>90.93013189452</v>
      </c>
      <c r="H14" s="11" t="n">
        <f aca="false">MIN(H13,Inputs!C21*Decisions!H4)</f>
        <v>84.8378130575872</v>
      </c>
      <c r="I14" s="11" t="n">
        <f aca="false">MIN(I13,Inputs!C21*Decisions!I4)</f>
        <v>79.1536795827288</v>
      </c>
      <c r="J14" s="11" t="n">
        <f aca="false">MIN(J13,Inputs!C21*Decisions!J4)</f>
        <v>73.850383050686</v>
      </c>
      <c r="K14" s="11" t="n">
        <f aca="false">MIN(K13,Inputs!C21*Decisions!K4)</f>
        <v>68.9024073862901</v>
      </c>
      <c r="L14" s="11" t="n">
        <f aca="false">MIN(L13,Inputs!C21*Decisions!L4)</f>
        <v>64.2859460914086</v>
      </c>
      <c r="M14" s="11" t="n">
        <f aca="false">MIN(M13,Inputs!C21*Decisions!M4)</f>
        <v>59.9787877032843</v>
      </c>
    </row>
    <row r="15" customFormat="false" ht="15" hidden="false" customHeight="false" outlineLevel="0" collapsed="false">
      <c r="B15" s="9" t="s">
        <v>96</v>
      </c>
      <c r="C15" s="12" t="n">
        <f aca="false">Inputs!C27</f>
        <v>800</v>
      </c>
      <c r="D15" s="12" t="n">
        <f aca="false">C15+C14</f>
        <v>920</v>
      </c>
      <c r="E15" s="12" t="n">
        <f aca="false">D15+D14</f>
        <v>1031.96</v>
      </c>
      <c r="F15" s="12" t="n">
        <f aca="false">E15+E14</f>
        <v>1136.41868</v>
      </c>
      <c r="G15" s="12" t="n">
        <f aca="false">F15+F14</f>
        <v>1233.87862844</v>
      </c>
      <c r="H15" s="12" t="n">
        <f aca="false">G15+G14</f>
        <v>1324.80876033452</v>
      </c>
      <c r="I15" s="12" t="n">
        <f aca="false">H15+H14</f>
        <v>1409.64657339211</v>
      </c>
      <c r="J15" s="12" t="n">
        <f aca="false">I15+I14</f>
        <v>1488.80025297484</v>
      </c>
      <c r="K15" s="12" t="n">
        <f aca="false">J15+J14</f>
        <v>1562.65063602552</v>
      </c>
      <c r="L15" s="12" t="n">
        <f aca="false">K15+K14</f>
        <v>1631.55304341181</v>
      </c>
      <c r="M15" s="12" t="n">
        <f aca="false">L15+L14</f>
        <v>1695.83898950322</v>
      </c>
    </row>
    <row r="16" customFormat="false" ht="15" hidden="false" customHeight="false" outlineLevel="0" collapsed="false">
      <c r="B16" s="9" t="s">
        <v>97</v>
      </c>
      <c r="C16" s="13" t="n">
        <f aca="false">Inputs!C25*(C15/Inputs!C27)^(-Inputs!C26)</f>
        <v>1.1</v>
      </c>
      <c r="D16" s="13" t="n">
        <f aca="false">Inputs!C25*(D15/Inputs!C27)^(-Inputs!C26)</f>
        <v>1.08170526688065</v>
      </c>
      <c r="E16" s="13" t="n">
        <f aca="false">Inputs!C25*(E15/Inputs!C27)^(-Inputs!C26)</f>
        <v>1.06690055226722</v>
      </c>
      <c r="F16" s="13" t="n">
        <f aca="false">Inputs!C25*(F15/Inputs!C27)^(-Inputs!C26)</f>
        <v>1.05462698596046</v>
      </c>
      <c r="G16" s="13" t="n">
        <f aca="false">Inputs!C25*(G15/Inputs!C27)^(-Inputs!C26)</f>
        <v>1.04426516420617</v>
      </c>
      <c r="H16" s="13" t="n">
        <f aca="false">Inputs!C25*(H15/Inputs!C27)^(-Inputs!C26)</f>
        <v>1.0353927046979</v>
      </c>
      <c r="I16" s="13" t="n">
        <f aca="false">Inputs!C25*(I15/Inputs!C27)^(-Inputs!C26)</f>
        <v>1.02770922478095</v>
      </c>
      <c r="J16" s="13" t="n">
        <f aca="false">Inputs!C25*(J15/Inputs!C27)^(-Inputs!C26)</f>
        <v>1.02099381573224</v>
      </c>
      <c r="K16" s="13" t="n">
        <f aca="false">Inputs!C25*(K15/Inputs!C27)^(-Inputs!C26)</f>
        <v>1.01507949846969</v>
      </c>
      <c r="L16" s="13" t="n">
        <f aca="false">Inputs!C25*(L15/Inputs!C27)^(-Inputs!C26)</f>
        <v>1.00983714150576</v>
      </c>
      <c r="M16" s="13" t="n">
        <f aca="false">Inputs!C25*(M15/Inputs!C27)^(-Inputs!C26)</f>
        <v>1.00516493447891</v>
      </c>
    </row>
    <row r="17" customFormat="false" ht="15" hidden="false" customHeight="false" outlineLevel="0" collapsed="false">
      <c r="B17" s="9" t="s">
        <v>98</v>
      </c>
      <c r="C17" s="13" t="n">
        <f aca="false">Inputs!C28</f>
        <v>1.5</v>
      </c>
      <c r="D17" s="13" t="n">
        <f aca="false">C17*(1-Inputs!C29)+C19/MAX(C14,1)</f>
        <v>1.4775</v>
      </c>
      <c r="E17" s="13" t="n">
        <f aca="false">D17*(1-Inputs!C29)+D19/MAX(D14,1)</f>
        <v>1.4553375</v>
      </c>
      <c r="F17" s="13" t="n">
        <f aca="false">E17*(1-Inputs!C29)+E19/MAX(E14,1)</f>
        <v>1.50530616212489</v>
      </c>
      <c r="G17" s="13" t="n">
        <f aca="false">F17*(1-Inputs!C29)+F19/MAX(F14,1)</f>
        <v>1.55968125846568</v>
      </c>
      <c r="H17" s="13" t="n">
        <f aca="false">G17*(1-Inputs!C29)+G19/MAX(G14,1)</f>
        <v>1.61876694931288</v>
      </c>
      <c r="I17" s="13" t="n">
        <f aca="false">H17*(1-Inputs!C29)+H19/MAX(H14,1)</f>
        <v>1.66078842716658</v>
      </c>
      <c r="J17" s="13" t="n">
        <f aca="false">I17*(1-Inputs!C29)+I19/MAX(I14,1)</f>
        <v>1.68325279375187</v>
      </c>
      <c r="K17" s="13" t="n">
        <f aca="false">J17*(1-Inputs!C29)+J19/MAX(J14,1)</f>
        <v>1.68339317279563</v>
      </c>
      <c r="L17" s="13" t="n">
        <f aca="false">K17*(1-Inputs!C29)+K19/MAX(K14,1)</f>
        <v>1.66494537567262</v>
      </c>
      <c r="M17" s="13" t="n">
        <f aca="false">L17*(1-Inputs!C29)+L19/MAX(L14,1)</f>
        <v>1.63997119503753</v>
      </c>
    </row>
    <row r="18" customFormat="false" ht="15" hidden="false" customHeight="false" outlineLevel="0" collapsed="false">
      <c r="B18" s="9" t="s">
        <v>99</v>
      </c>
      <c r="C18" s="11" t="n">
        <f aca="false">Inputs!C35</f>
        <v>30</v>
      </c>
      <c r="D18" s="11" t="n">
        <f aca="false">MAX(0,C18+Inputs!C30*Decisions!C20)</f>
        <v>30</v>
      </c>
      <c r="E18" s="11" t="n">
        <f aca="false">MAX(0,D18+Inputs!C30*Decisions!D20)</f>
        <v>30</v>
      </c>
      <c r="F18" s="11" t="n">
        <f aca="false">MAX(0,E18+Inputs!C30*Decisions!E20-Inputs!C32*C18)</f>
        <v>22.5</v>
      </c>
      <c r="G18" s="11" t="n">
        <f aca="false">MAX(0,F18+Inputs!C30*Decisions!F20-Inputs!C32*D18)</f>
        <v>15</v>
      </c>
      <c r="H18" s="11" t="n">
        <f aca="false">MAX(0,G18+Inputs!C30*Decisions!G20-Inputs!C32*E18)</f>
        <v>7.5</v>
      </c>
      <c r="I18" s="11" t="n">
        <f aca="false">MAX(0,H18+Inputs!C30*Decisions!H20-Inputs!C32*F18)</f>
        <v>1.875</v>
      </c>
      <c r="J18" s="11" t="n">
        <f aca="false">MAX(0,I18+Inputs!C30*Decisions!I20-Inputs!C32*G18)</f>
        <v>0</v>
      </c>
      <c r="K18" s="11" t="n">
        <f aca="false">MAX(0,J18+Inputs!C30*Decisions!J20-Inputs!C32*H18)</f>
        <v>0</v>
      </c>
      <c r="L18" s="11" t="n">
        <f aca="false">MAX(0,K18+Inputs!C30*Decisions!K20-Inputs!C32*I18)</f>
        <v>0</v>
      </c>
      <c r="M18" s="11" t="n">
        <f aca="false">MAX(0,L18+Inputs!C30*Decisions!L20-Inputs!C32*J18)</f>
        <v>0</v>
      </c>
    </row>
    <row r="19" customFormat="false" ht="15" hidden="false" customHeight="false" outlineLevel="0" collapsed="false">
      <c r="B19" s="9" t="s">
        <v>100</v>
      </c>
      <c r="C19" s="11" t="n">
        <v>0</v>
      </c>
      <c r="D19" s="11" t="n">
        <v>0</v>
      </c>
      <c r="E19" s="11" t="n">
        <f aca="false">Inputs!C32*C18</f>
        <v>7.5</v>
      </c>
      <c r="F19" s="11" t="n">
        <f aca="false">Inputs!C32*D18</f>
        <v>7.5</v>
      </c>
      <c r="G19" s="11" t="n">
        <f aca="false">Inputs!C32*E18</f>
        <v>7.5</v>
      </c>
      <c r="H19" s="11" t="n">
        <f aca="false">Inputs!C32*F18</f>
        <v>5.625</v>
      </c>
      <c r="I19" s="11" t="n">
        <f aca="false">Inputs!C32*G18</f>
        <v>3.75</v>
      </c>
      <c r="J19" s="11" t="n">
        <f aca="false">Inputs!C32*H18</f>
        <v>1.875</v>
      </c>
      <c r="K19" s="11" t="n">
        <f aca="false">Inputs!C32*I18</f>
        <v>0.46875</v>
      </c>
      <c r="L19" s="11" t="n">
        <f aca="false">Inputs!C32*J18</f>
        <v>0</v>
      </c>
      <c r="M19" s="11" t="n">
        <f aca="false">Inputs!C32*K18</f>
        <v>0</v>
      </c>
    </row>
    <row r="20" customFormat="false" ht="15" hidden="false" customHeight="false" outlineLevel="0" collapsed="false">
      <c r="B20" s="9" t="s">
        <v>101</v>
      </c>
      <c r="C20" s="11" t="n">
        <f aca="false">C17*C14</f>
        <v>180</v>
      </c>
      <c r="D20" s="11" t="n">
        <f aca="false">D17*D14</f>
        <v>165.4209</v>
      </c>
      <c r="E20" s="11" t="n">
        <f aca="false">E17*E14</f>
        <v>152.0226342045</v>
      </c>
      <c r="F20" s="11" t="n">
        <f aca="false">F17*F14</f>
        <v>146.707060947107</v>
      </c>
      <c r="G20" s="11" t="n">
        <f aca="false">G17*G14</f>
        <v>141.822022545696</v>
      </c>
      <c r="H20" s="11" t="n">
        <f aca="false">H17*H14</f>
        <v>137.332647829607</v>
      </c>
      <c r="I20" s="11" t="n">
        <f aca="false">I17*I14</f>
        <v>131.457515018648</v>
      </c>
      <c r="J20" s="11" t="n">
        <f aca="false">J17*J14</f>
        <v>124.308863589713</v>
      </c>
      <c r="K20" s="11" t="n">
        <f aca="false">K17*K14</f>
        <v>115.989842183264</v>
      </c>
      <c r="L20" s="11" t="n">
        <f aca="false">L17*L14</f>
        <v>107.03258866563</v>
      </c>
      <c r="M20" s="11" t="n">
        <f aca="false">M17*M14</f>
        <v>98.3634841466577</v>
      </c>
    </row>
    <row r="21" customFormat="false" ht="15" hidden="false" customHeight="false" outlineLevel="0" collapsed="false">
      <c r="B21" s="9" t="s">
        <v>102</v>
      </c>
      <c r="C21" s="11" t="n">
        <f aca="false">C16*C14</f>
        <v>132</v>
      </c>
      <c r="D21" s="11" t="n">
        <f aca="false">D16*D14</f>
        <v>121.107721679957</v>
      </c>
      <c r="E21" s="11" t="n">
        <f aca="false">E16*E14</f>
        <v>111.447023381104</v>
      </c>
      <c r="F21" s="11" t="n">
        <f aca="false">F16*F14</f>
        <v>102.783891675139</v>
      </c>
      <c r="G21" s="11" t="n">
        <f aca="false">G16*G14</f>
        <v>94.9551691141197</v>
      </c>
      <c r="H21" s="11" t="n">
        <f aca="false">H16*H14</f>
        <v>87.8404527223496</v>
      </c>
      <c r="I21" s="11" t="n">
        <f aca="false">I16*I14</f>
        <v>81.3469666825261</v>
      </c>
      <c r="J21" s="11" t="n">
        <f aca="false">J16*J14</f>
        <v>75.4007843842074</v>
      </c>
      <c r="K21" s="11" t="n">
        <f aca="false">K16*K14</f>
        <v>69.9414211330295</v>
      </c>
      <c r="L21" s="11" t="n">
        <f aca="false">L16*L14</f>
        <v>64.9183360399414</v>
      </c>
      <c r="M21" s="11" t="n">
        <f aca="false">M16*M14</f>
        <v>60.2885742118959</v>
      </c>
    </row>
    <row r="22" customFormat="false" ht="15" hidden="false" customHeight="false" outlineLevel="0" collapsed="false">
      <c r="B22" s="9" t="s">
        <v>103</v>
      </c>
      <c r="C22" s="11" t="n">
        <f aca="false">C20-C21-Inputs!B40-Decisions!C20</f>
        <v>28</v>
      </c>
      <c r="D22" s="11" t="n">
        <f aca="false">D20-D21-Inputs!C40-Decisions!D20</f>
        <v>22.3131783200426</v>
      </c>
      <c r="E22" s="11" t="n">
        <f aca="false">E20-E21-Inputs!D40-Decisions!E20</f>
        <v>15.5756108233955</v>
      </c>
      <c r="F22" s="11" t="n">
        <f aca="false">F20-F21-Inputs!E40-Decisions!F20</f>
        <v>15.9231692719673</v>
      </c>
      <c r="G22" s="11" t="n">
        <f aca="false">G20-G21-Inputs!F40-Decisions!G20</f>
        <v>14.8668534315759</v>
      </c>
      <c r="H22" s="11" t="n">
        <f aca="false">H20-H21-Inputs!G40-Decisions!H20</f>
        <v>13.4921951072574</v>
      </c>
      <c r="I22" s="11" t="n">
        <f aca="false">I20-I21-Inputs!H40-Decisions!I20</f>
        <v>10.1105483361219</v>
      </c>
      <c r="J22" s="11" t="n">
        <f aca="false">J20-J21-Inputs!I40-Decisions!J20</f>
        <v>4.90807920550523</v>
      </c>
      <c r="K22" s="11" t="n">
        <f aca="false">K20-K21-Inputs!J40-Decisions!K20</f>
        <v>-1.95157894976559</v>
      </c>
      <c r="L22" s="11" t="n">
        <f aca="false">L20-L21-Inputs!K40-Decisions!L20</f>
        <v>-9.88574737431104</v>
      </c>
      <c r="M22" s="11" t="n">
        <f aca="false">M20-M21-Inputs!L40-Decisions!M20</f>
        <v>-17.9250900652382</v>
      </c>
    </row>
    <row r="24" customFormat="false" ht="15" hidden="false" customHeight="false" outlineLevel="0" collapsed="false">
      <c r="A24" s="1" t="s">
        <v>51</v>
      </c>
      <c r="B24" s="9" t="s">
        <v>94</v>
      </c>
      <c r="C24" s="11" t="n">
        <f aca="false">Inputs!D34</f>
        <v>40</v>
      </c>
      <c r="D24" s="11" t="n">
        <f aca="false">(1-Inputs!D24)*C24</f>
        <v>37.32</v>
      </c>
      <c r="E24" s="11" t="n">
        <f aca="false">(1-Inputs!D24)*D24</f>
        <v>34.81956</v>
      </c>
      <c r="F24" s="11" t="n">
        <f aca="false">(1-Inputs!D24)*E24+(Decisions!C13)/Inputs!D22</f>
        <v>32.48664948</v>
      </c>
      <c r="G24" s="11" t="n">
        <f aca="false">(1-Inputs!D24)*F24+(Decisions!D13)/Inputs!D22</f>
        <v>30.31004396484</v>
      </c>
      <c r="H24" s="11" t="n">
        <f aca="false">(1-Inputs!D24)*G24+(Decisions!E13)/Inputs!D22</f>
        <v>28.2792710191957</v>
      </c>
      <c r="I24" s="11" t="n">
        <f aca="false">(1-Inputs!D24)*H24+(Decisions!F13)/Inputs!D22</f>
        <v>26.3845598609096</v>
      </c>
      <c r="J24" s="11" t="n">
        <f aca="false">(1-Inputs!D24)*I24+(Decisions!G13)/Inputs!D22</f>
        <v>24.6167943502287</v>
      </c>
      <c r="K24" s="11" t="n">
        <f aca="false">(1-Inputs!D24)*J24+(Decisions!H13)/Inputs!D22</f>
        <v>22.9674691287634</v>
      </c>
      <c r="L24" s="11" t="n">
        <f aca="false">(1-Inputs!D24)*K24+(Decisions!I13)/Inputs!D22</f>
        <v>21.4286486971362</v>
      </c>
      <c r="M24" s="11" t="n">
        <f aca="false">(1-Inputs!D24)*L24+(Decisions!J13)/Inputs!D22</f>
        <v>19.9929292344281</v>
      </c>
    </row>
    <row r="25" customFormat="false" ht="15" hidden="false" customHeight="false" outlineLevel="0" collapsed="false">
      <c r="B25" s="9" t="s">
        <v>95</v>
      </c>
      <c r="C25" s="11" t="n">
        <f aca="false">MIN(C24,Inputs!D21*Decisions!C5)</f>
        <v>39.999975</v>
      </c>
      <c r="D25" s="11" t="n">
        <f aca="false">MIN(D24,Inputs!D21*Decisions!D5)</f>
        <v>37.32</v>
      </c>
      <c r="E25" s="11" t="n">
        <f aca="false">MIN(E24,Inputs!D21*Decisions!E5)</f>
        <v>34.81956</v>
      </c>
      <c r="F25" s="11" t="n">
        <f aca="false">MIN(F24,Inputs!D21*Decisions!F5)</f>
        <v>32.48664948</v>
      </c>
      <c r="G25" s="11" t="n">
        <f aca="false">MIN(G24,Inputs!D21*Decisions!G5)</f>
        <v>30.31004396484</v>
      </c>
      <c r="H25" s="11" t="n">
        <f aca="false">MIN(H24,Inputs!D21*Decisions!H5)</f>
        <v>28.2792710191957</v>
      </c>
      <c r="I25" s="11" t="n">
        <f aca="false">MIN(I24,Inputs!D21*Decisions!I5)</f>
        <v>26.3845598609096</v>
      </c>
      <c r="J25" s="11" t="n">
        <f aca="false">MIN(J24,Inputs!D21*Decisions!J5)</f>
        <v>24.6167943502287</v>
      </c>
      <c r="K25" s="11" t="n">
        <f aca="false">MIN(K24,Inputs!D21*Decisions!K5)</f>
        <v>22.9674691287634</v>
      </c>
      <c r="L25" s="11" t="n">
        <f aca="false">MIN(L24,Inputs!D21*Decisions!L5)</f>
        <v>21.4286486971362</v>
      </c>
      <c r="M25" s="11" t="n">
        <f aca="false">MIN(M24,Inputs!D21*Decisions!M5)</f>
        <v>19.9929292344281</v>
      </c>
    </row>
    <row r="26" customFormat="false" ht="15" hidden="false" customHeight="false" outlineLevel="0" collapsed="false">
      <c r="B26" s="9" t="s">
        <v>96</v>
      </c>
      <c r="C26" s="12" t="n">
        <f aca="false">Inputs!D27</f>
        <v>200</v>
      </c>
      <c r="D26" s="12" t="n">
        <f aca="false">C26+C25</f>
        <v>239.999975</v>
      </c>
      <c r="E26" s="12" t="n">
        <f aca="false">D26+D25</f>
        <v>277.319975</v>
      </c>
      <c r="F26" s="12" t="n">
        <f aca="false">E26+E25</f>
        <v>312.139535</v>
      </c>
      <c r="G26" s="12" t="n">
        <f aca="false">F26+F25</f>
        <v>344.62618448</v>
      </c>
      <c r="H26" s="12" t="n">
        <f aca="false">G26+G25</f>
        <v>374.93622844484</v>
      </c>
      <c r="I26" s="12" t="n">
        <f aca="false">H26+H25</f>
        <v>403.215499464036</v>
      </c>
      <c r="J26" s="12" t="n">
        <f aca="false">I26+I25</f>
        <v>429.600059324945</v>
      </c>
      <c r="K26" s="12" t="n">
        <f aca="false">J26+J25</f>
        <v>454.216853675174</v>
      </c>
      <c r="L26" s="12" t="n">
        <f aca="false">K26+K25</f>
        <v>477.184322803937</v>
      </c>
      <c r="M26" s="12" t="n">
        <f aca="false">L26+L25</f>
        <v>498.612971501074</v>
      </c>
    </row>
    <row r="27" customFormat="false" ht="15" hidden="false" customHeight="false" outlineLevel="0" collapsed="false">
      <c r="B27" s="9" t="s">
        <v>97</v>
      </c>
      <c r="C27" s="13" t="n">
        <f aca="false">Inputs!D25*(C26/Inputs!D27)^(-Inputs!D26)</f>
        <v>1.6</v>
      </c>
      <c r="D27" s="13" t="n">
        <f aca="false">Inputs!D25*(D26/Inputs!D27)^(-Inputs!D26)</f>
        <v>1.56537444120568</v>
      </c>
      <c r="E27" s="13" t="n">
        <f aca="false">Inputs!D25*(E26/Inputs!D27)^(-Inputs!D26)</f>
        <v>1.53845870626101</v>
      </c>
      <c r="F27" s="13" t="n">
        <f aca="false">Inputs!D25*(F26/Inputs!D27)^(-Inputs!D26)</f>
        <v>1.51677697949666</v>
      </c>
      <c r="G27" s="13" t="n">
        <f aca="false">Inputs!D25*(G26/Inputs!D27)^(-Inputs!D26)</f>
        <v>1.49886248407447</v>
      </c>
      <c r="H27" s="13" t="n">
        <f aca="false">Inputs!D25*(H26/Inputs!D27)^(-Inputs!D26)</f>
        <v>1.48377720006696</v>
      </c>
      <c r="I27" s="13" t="n">
        <f aca="false">Inputs!D25*(I26/Inputs!D27)^(-Inputs!D26)</f>
        <v>1.47088634427253</v>
      </c>
      <c r="J27" s="13" t="n">
        <f aca="false">Inputs!D25*(J26/Inputs!D27)^(-Inputs!D26)</f>
        <v>1.45974118794709</v>
      </c>
      <c r="K27" s="13" t="n">
        <f aca="false">Inputs!D25*(K26/Inputs!D27)^(-Inputs!D26)</f>
        <v>1.45001332348295</v>
      </c>
      <c r="L27" s="13" t="n">
        <f aca="false">Inputs!D25*(L26/Inputs!D27)^(-Inputs!D26)</f>
        <v>1.44145550831174</v>
      </c>
      <c r="M27" s="13" t="n">
        <f aca="false">Inputs!D25*(M26/Inputs!D27)^(-Inputs!D26)</f>
        <v>1.4338771812417</v>
      </c>
    </row>
    <row r="28" customFormat="false" ht="15" hidden="false" customHeight="false" outlineLevel="0" collapsed="false">
      <c r="B28" s="9" t="s">
        <v>98</v>
      </c>
      <c r="C28" s="13" t="n">
        <f aca="false">Inputs!D28</f>
        <v>2</v>
      </c>
      <c r="D28" s="13" t="n">
        <f aca="false">C28*(1-Inputs!D29)+C30/MAX(C25,1)</f>
        <v>1.96</v>
      </c>
      <c r="E28" s="13" t="n">
        <f aca="false">D28*(1-Inputs!D29)+D30/MAX(D25,1)</f>
        <v>1.9208</v>
      </c>
      <c r="F28" s="13" t="n">
        <f aca="false">E28*(1-Inputs!D29)+E30/MAX(E25,1)</f>
        <v>1.882384</v>
      </c>
      <c r="G28" s="13" t="n">
        <f aca="false">F28*(1-Inputs!D29)+F30/MAX(F25,1)</f>
        <v>1.9370819465272</v>
      </c>
      <c r="H28" s="13" t="n">
        <f aca="false">G28*(1-Inputs!D29)+G30/MAX(G25,1)</f>
        <v>1.99731739926567</v>
      </c>
      <c r="I28" s="13" t="n">
        <f aca="false">H28*(1-Inputs!D29)+H30/MAX(H25,1)</f>
        <v>2.06345582262979</v>
      </c>
      <c r="J28" s="13" t="n">
        <f aca="false">I28*(1-Inputs!D29)+I30/MAX(I25,1)</f>
        <v>2.13588956935987</v>
      </c>
      <c r="K28" s="13" t="n">
        <f aca="false">J28*(1-Inputs!D29)+J30/MAX(J25,1)</f>
        <v>2.19066619442083</v>
      </c>
      <c r="L28" s="13" t="n">
        <f aca="false">K28*(1-Inputs!D29)+K30/MAX(K25,1)</f>
        <v>2.22522458793448</v>
      </c>
      <c r="M28" s="13" t="n">
        <f aca="false">L28*(1-Inputs!D29)+L30/MAX(L25,1)</f>
        <v>2.236719894248</v>
      </c>
    </row>
    <row r="29" customFormat="false" ht="15" hidden="false" customHeight="false" outlineLevel="0" collapsed="false">
      <c r="B29" s="9" t="s">
        <v>99</v>
      </c>
      <c r="C29" s="11" t="n">
        <f aca="false">Inputs!D35</f>
        <v>15</v>
      </c>
      <c r="D29" s="11" t="n">
        <f aca="false">MAX(0,C29+Inputs!D30*Decisions!C21)</f>
        <v>15</v>
      </c>
      <c r="E29" s="11" t="n">
        <f aca="false">MAX(0,D29+Inputs!D30*Decisions!D21)</f>
        <v>15</v>
      </c>
      <c r="F29" s="11" t="n">
        <f aca="false">MAX(0,E29+Inputs!D30*Decisions!E21)</f>
        <v>15</v>
      </c>
      <c r="G29" s="11" t="n">
        <f aca="false">MAX(0,F29+Inputs!D30*Decisions!F21-Inputs!D32*C29)</f>
        <v>12</v>
      </c>
      <c r="H29" s="11" t="n">
        <f aca="false">MAX(0,G29+Inputs!D30*Decisions!G21-Inputs!D32*D29)</f>
        <v>9</v>
      </c>
      <c r="I29" s="11" t="n">
        <f aca="false">MAX(0,H29+Inputs!D30*Decisions!H21-Inputs!D32*E29)</f>
        <v>6</v>
      </c>
      <c r="J29" s="11" t="n">
        <f aca="false">MAX(0,I29+Inputs!D30*Decisions!I21-Inputs!D32*F29)</f>
        <v>3</v>
      </c>
      <c r="K29" s="11" t="n">
        <f aca="false">MAX(0,J29+Inputs!D30*Decisions!J21-Inputs!D32*G29)</f>
        <v>0.6</v>
      </c>
      <c r="L29" s="11" t="n">
        <f aca="false">MAX(0,K29+Inputs!D30*Decisions!K21-Inputs!D32*H29)</f>
        <v>0</v>
      </c>
      <c r="M29" s="11" t="n">
        <f aca="false">MAX(0,L29+Inputs!D30*Decisions!L21-Inputs!D32*I29)</f>
        <v>0</v>
      </c>
    </row>
    <row r="30" customFormat="false" ht="15" hidden="false" customHeight="false" outlineLevel="0" collapsed="false">
      <c r="B30" s="9" t="s">
        <v>100</v>
      </c>
      <c r="C30" s="11" t="n">
        <v>0</v>
      </c>
      <c r="D30" s="11" t="n">
        <v>0</v>
      </c>
      <c r="E30" s="11" t="n">
        <v>0</v>
      </c>
      <c r="F30" s="11" t="n">
        <f aca="false">Inputs!D32*C29</f>
        <v>3</v>
      </c>
      <c r="G30" s="11" t="n">
        <f aca="false">Inputs!D32*D29</f>
        <v>3</v>
      </c>
      <c r="H30" s="11" t="n">
        <f aca="false">Inputs!D32*E29</f>
        <v>3</v>
      </c>
      <c r="I30" s="11" t="n">
        <f aca="false">Inputs!D32*F29</f>
        <v>3</v>
      </c>
      <c r="J30" s="11" t="n">
        <f aca="false">Inputs!D32*G29</f>
        <v>2.4</v>
      </c>
      <c r="K30" s="11" t="n">
        <f aca="false">Inputs!D32*H29</f>
        <v>1.8</v>
      </c>
      <c r="L30" s="11" t="n">
        <f aca="false">Inputs!D32*I29</f>
        <v>1.2</v>
      </c>
      <c r="M30" s="11" t="n">
        <f aca="false">Inputs!D32*J29</f>
        <v>0.6</v>
      </c>
    </row>
    <row r="31" customFormat="false" ht="15" hidden="false" customHeight="false" outlineLevel="0" collapsed="false">
      <c r="B31" s="9" t="s">
        <v>101</v>
      </c>
      <c r="C31" s="11" t="n">
        <f aca="false">C28*C25</f>
        <v>79.99995</v>
      </c>
      <c r="D31" s="11" t="n">
        <f aca="false">D28*D25</f>
        <v>73.1472</v>
      </c>
      <c r="E31" s="11" t="n">
        <f aca="false">E28*E25</f>
        <v>66.881410848</v>
      </c>
      <c r="F31" s="11" t="n">
        <f aca="false">F28*F25</f>
        <v>61.1523491947603</v>
      </c>
      <c r="G31" s="11" t="n">
        <f aca="false">G28*G25</f>
        <v>58.7130389627372</v>
      </c>
      <c r="H31" s="11" t="n">
        <f aca="false">H28*H25</f>
        <v>56.4826800451891</v>
      </c>
      <c r="I31" s="11" t="n">
        <f aca="false">I28*I25</f>
        <v>54.4433736725182</v>
      </c>
      <c r="J31" s="11" t="n">
        <f aca="false">J28*J25</f>
        <v>52.5787542837303</v>
      </c>
      <c r="K31" s="11" t="n">
        <f aca="false">K28*K25</f>
        <v>50.314058191786</v>
      </c>
      <c r="L31" s="11" t="n">
        <f aca="false">L28*L25</f>
        <v>47.6835559670776</v>
      </c>
      <c r="M31" s="11" t="n">
        <f aca="false">M28*M25</f>
        <v>44.7185825629377</v>
      </c>
    </row>
    <row r="32" customFormat="false" ht="15" hidden="false" customHeight="false" outlineLevel="0" collapsed="false">
      <c r="B32" s="9" t="s">
        <v>102</v>
      </c>
      <c r="C32" s="11" t="n">
        <f aca="false">C27*C25</f>
        <v>63.99996</v>
      </c>
      <c r="D32" s="11" t="n">
        <f aca="false">D27*D25</f>
        <v>58.4197741457962</v>
      </c>
      <c r="E32" s="11" t="n">
        <f aca="false">E27*E25</f>
        <v>53.5684552301775</v>
      </c>
      <c r="F32" s="11" t="n">
        <f aca="false">F27*F25</f>
        <v>49.2750020722412</v>
      </c>
      <c r="G32" s="11" t="n">
        <f aca="false">G27*G25</f>
        <v>45.4305877895465</v>
      </c>
      <c r="H32" s="11" t="n">
        <f aca="false">H27*H25</f>
        <v>41.9601375727968</v>
      </c>
      <c r="I32" s="11" t="n">
        <f aca="false">I27*I25</f>
        <v>38.8086887990531</v>
      </c>
      <c r="J32" s="11" t="n">
        <f aca="false">J27*J25</f>
        <v>35.9341486282519</v>
      </c>
      <c r="K32" s="11" t="n">
        <f aca="false">K27*K25</f>
        <v>33.3031362433901</v>
      </c>
      <c r="L32" s="11" t="n">
        <f aca="false">L27*L25</f>
        <v>30.8884437001643</v>
      </c>
      <c r="M32" s="11" t="n">
        <f aca="false">M27*M25</f>
        <v>28.6674050154265</v>
      </c>
    </row>
    <row r="33" customFormat="false" ht="15" hidden="false" customHeight="false" outlineLevel="0" collapsed="false">
      <c r="B33" s="9" t="s">
        <v>103</v>
      </c>
      <c r="C33" s="11" t="n">
        <f aca="false">C31-C32-Inputs!B41-Decisions!C21</f>
        <v>5.99999</v>
      </c>
      <c r="D33" s="11" t="n">
        <f aca="false">D31-D32-Inputs!C41-Decisions!D21</f>
        <v>2.72742585420384</v>
      </c>
      <c r="E33" s="11" t="n">
        <f aca="false">E31-E32-Inputs!D41-Decisions!E21</f>
        <v>-0.687044382177469</v>
      </c>
      <c r="F33" s="11" t="n">
        <f aca="false">F31-F32-Inputs!E41-Decisions!F21</f>
        <v>-5.1226528774809</v>
      </c>
      <c r="G33" s="11" t="n">
        <f aca="false">G31-G32-Inputs!F41-Decisions!G21</f>
        <v>-6.71754882680935</v>
      </c>
      <c r="H33" s="11" t="n">
        <f aca="false">H31-H32-Inputs!G41-Decisions!H21</f>
        <v>-8.47745752760774</v>
      </c>
      <c r="I33" s="11" t="n">
        <f aca="false">I31-I32-Inputs!H41-Decisions!I21</f>
        <v>-10.3653151265349</v>
      </c>
      <c r="J33" s="11" t="n">
        <f aca="false">J31-J32-Inputs!I41-Decisions!J21</f>
        <v>-12.3553943445216</v>
      </c>
      <c r="K33" s="11" t="n">
        <f aca="false">K31-K32-Inputs!J41-Decisions!K21</f>
        <v>-14.9890780516042</v>
      </c>
      <c r="L33" s="11" t="n">
        <f aca="false">L31-L32-Inputs!K41-Decisions!L21</f>
        <v>-18.2048877330867</v>
      </c>
      <c r="M33" s="11" t="n">
        <f aca="false">M31-M32-Inputs!L41-Decisions!M21</f>
        <v>-21.9488224524888</v>
      </c>
    </row>
    <row r="35" customFormat="false" ht="15" hidden="false" customHeight="false" outlineLevel="0" collapsed="false">
      <c r="A35" s="1" t="s">
        <v>52</v>
      </c>
      <c r="B35" s="9" t="s">
        <v>94</v>
      </c>
      <c r="C35" s="11" t="n">
        <f aca="false">Inputs!E34</f>
        <v>6</v>
      </c>
      <c r="D35" s="11" t="n">
        <f aca="false">(1-Inputs!E24)*C35</f>
        <v>5.598</v>
      </c>
      <c r="E35" s="11" t="n">
        <f aca="false">(1-Inputs!E24)*D35</f>
        <v>5.222934</v>
      </c>
      <c r="F35" s="11" t="n">
        <f aca="false">(1-Inputs!E24)*E35</f>
        <v>4.872997422</v>
      </c>
      <c r="G35" s="11" t="n">
        <f aca="false">(1-Inputs!E24)*F35+(Decisions!C14)/Inputs!E22</f>
        <v>4.546506594726</v>
      </c>
      <c r="H35" s="11" t="n">
        <f aca="false">(1-Inputs!E24)*G35+(Decisions!D14)/Inputs!E22</f>
        <v>4.24189065287936</v>
      </c>
      <c r="I35" s="11" t="n">
        <f aca="false">(1-Inputs!E24)*H35+(Decisions!E14)/Inputs!E22</f>
        <v>3.95768397913644</v>
      </c>
      <c r="J35" s="11" t="n">
        <f aca="false">(1-Inputs!E24)*I35+(Decisions!F14)/Inputs!E22</f>
        <v>3.6925191525343</v>
      </c>
      <c r="K35" s="11" t="n">
        <f aca="false">(1-Inputs!E24)*J35+(Decisions!G14)/Inputs!E22</f>
        <v>3.4451203693145</v>
      </c>
      <c r="L35" s="11" t="n">
        <f aca="false">(1-Inputs!E24)*K35+(Decisions!H14)/Inputs!E22</f>
        <v>3.21429730457043</v>
      </c>
      <c r="M35" s="11" t="n">
        <f aca="false">(1-Inputs!E24)*L35+(Decisions!I14)/Inputs!E22</f>
        <v>2.99893938516421</v>
      </c>
    </row>
    <row r="36" customFormat="false" ht="15" hidden="false" customHeight="false" outlineLevel="0" collapsed="false">
      <c r="B36" s="9" t="s">
        <v>95</v>
      </c>
      <c r="C36" s="11" t="n">
        <f aca="false">MIN(C35,Inputs!E21*Decisions!C6)</f>
        <v>6</v>
      </c>
      <c r="D36" s="11" t="n">
        <f aca="false">MIN(D35,Inputs!E21*Decisions!D6)</f>
        <v>5.598</v>
      </c>
      <c r="E36" s="11" t="n">
        <f aca="false">MIN(E35,Inputs!E21*Decisions!E6)</f>
        <v>5.222934</v>
      </c>
      <c r="F36" s="11" t="n">
        <f aca="false">MIN(F35,Inputs!E21*Decisions!F6)</f>
        <v>4.872997422</v>
      </c>
      <c r="G36" s="11" t="n">
        <f aca="false">MIN(G35,Inputs!E21*Decisions!G6)</f>
        <v>4.546506594726</v>
      </c>
      <c r="H36" s="11" t="n">
        <f aca="false">MIN(H35,Inputs!E21*Decisions!H6)</f>
        <v>4.24189065287936</v>
      </c>
      <c r="I36" s="11" t="n">
        <f aca="false">MIN(I35,Inputs!E21*Decisions!I6)</f>
        <v>3.95768397913644</v>
      </c>
      <c r="J36" s="11" t="n">
        <f aca="false">MIN(J35,Inputs!E21*Decisions!J6)</f>
        <v>3.6925191525343</v>
      </c>
      <c r="K36" s="11" t="n">
        <f aca="false">MIN(K35,Inputs!E21*Decisions!K6)</f>
        <v>3.4451203693145</v>
      </c>
      <c r="L36" s="11" t="n">
        <f aca="false">MIN(L35,Inputs!E21*Decisions!L6)</f>
        <v>3.21429730457043</v>
      </c>
      <c r="M36" s="11" t="n">
        <f aca="false">MIN(M35,Inputs!E21*Decisions!M6)</f>
        <v>2.99893938516421</v>
      </c>
    </row>
    <row r="37" customFormat="false" ht="15" hidden="false" customHeight="false" outlineLevel="0" collapsed="false">
      <c r="B37" s="9" t="s">
        <v>96</v>
      </c>
      <c r="C37" s="12" t="n">
        <f aca="false">Inputs!E27</f>
        <v>25</v>
      </c>
      <c r="D37" s="12" t="n">
        <f aca="false">C37+C36</f>
        <v>31</v>
      </c>
      <c r="E37" s="12" t="n">
        <f aca="false">D37+D36</f>
        <v>36.598</v>
      </c>
      <c r="F37" s="12" t="n">
        <f aca="false">E37+E36</f>
        <v>41.820934</v>
      </c>
      <c r="G37" s="12" t="n">
        <f aca="false">F37+F36</f>
        <v>46.693931422</v>
      </c>
      <c r="H37" s="12" t="n">
        <f aca="false">G37+G36</f>
        <v>51.240438016726</v>
      </c>
      <c r="I37" s="12" t="n">
        <f aca="false">H37+H36</f>
        <v>55.4823286696054</v>
      </c>
      <c r="J37" s="12" t="n">
        <f aca="false">I37+I36</f>
        <v>59.4400126487418</v>
      </c>
      <c r="K37" s="12" t="n">
        <f aca="false">J37+J36</f>
        <v>63.1325318012761</v>
      </c>
      <c r="L37" s="12" t="n">
        <f aca="false">K37+K36</f>
        <v>66.5776521705906</v>
      </c>
      <c r="M37" s="12" t="n">
        <f aca="false">L37+L36</f>
        <v>69.7919494751611</v>
      </c>
    </row>
    <row r="38" customFormat="false" ht="15" hidden="false" customHeight="false" outlineLevel="0" collapsed="false">
      <c r="B38" s="9" t="s">
        <v>97</v>
      </c>
      <c r="C38" s="13" t="n">
        <f aca="false">Inputs!E25*(C37/Inputs!E27)^(-Inputs!E26)</f>
        <v>4.8</v>
      </c>
      <c r="D38" s="13" t="n">
        <f aca="false">Inputs!E25*(D37/Inputs!E27)^(-Inputs!E26)</f>
        <v>4.59787224933099</v>
      </c>
      <c r="E38" s="13" t="n">
        <f aca="false">Inputs!E25*(E37/Inputs!E27)^(-Inputs!E26)</f>
        <v>4.44772337466348</v>
      </c>
      <c r="F38" s="13" t="n">
        <f aca="false">Inputs!E25*(F37/Inputs!E27)^(-Inputs!E26)</f>
        <v>4.33062415109124</v>
      </c>
      <c r="G38" s="13" t="n">
        <f aca="false">Inputs!E25*(G37/Inputs!E27)^(-Inputs!E26)</f>
        <v>4.23620677915799</v>
      </c>
      <c r="H38" s="13" t="n">
        <f aca="false">Inputs!E25*(H37/Inputs!E27)^(-Inputs!E26)</f>
        <v>4.15821243093576</v>
      </c>
      <c r="I38" s="13" t="n">
        <f aca="false">Inputs!E25*(I37/Inputs!E27)^(-Inputs!E26)</f>
        <v>4.09259060520383</v>
      </c>
      <c r="J38" s="13" t="n">
        <f aca="false">Inputs!E25*(J37/Inputs!E27)^(-Inputs!E26)</f>
        <v>4.03657903702997</v>
      </c>
      <c r="K38" s="13" t="n">
        <f aca="false">Inputs!E25*(K37/Inputs!E27)^(-Inputs!E26)</f>
        <v>3.98821532415225</v>
      </c>
      <c r="L38" s="13" t="n">
        <f aca="false">Inputs!E25*(L37/Inputs!E27)^(-Inputs!E26)</f>
        <v>3.94605872338334</v>
      </c>
      <c r="M38" s="13" t="n">
        <f aca="false">Inputs!E25*(M37/Inputs!E27)^(-Inputs!E26)</f>
        <v>3.9090225270838</v>
      </c>
    </row>
    <row r="39" customFormat="false" ht="15" hidden="false" customHeight="false" outlineLevel="0" collapsed="false">
      <c r="B39" s="9" t="s">
        <v>98</v>
      </c>
      <c r="C39" s="13" t="n">
        <f aca="false">Inputs!E28</f>
        <v>6</v>
      </c>
      <c r="D39" s="13" t="n">
        <f aca="false">C39*(1-Inputs!E29)+C41/MAX(C36,1)</f>
        <v>5.97</v>
      </c>
      <c r="E39" s="13" t="n">
        <f aca="false">D39*(1-Inputs!E29)+D41/MAX(D36,1)</f>
        <v>5.94015</v>
      </c>
      <c r="F39" s="13" t="n">
        <f aca="false">E39*(1-Inputs!E29)+E41/MAX(E36,1)</f>
        <v>5.91044925</v>
      </c>
      <c r="G39" s="13" t="n">
        <f aca="false">F39*(1-Inputs!E29)+F41/MAX(F36,1)</f>
        <v>5.88089700375</v>
      </c>
      <c r="H39" s="13" t="n">
        <f aca="false">G39*(1-Inputs!E29)+G41/MAX(G36,1)</f>
        <v>7.50111071321492</v>
      </c>
      <c r="I39" s="13" t="n">
        <f aca="false">H39*(1-Inputs!E29)+H41/MAX(H36,1)</f>
        <v>9.23168468213938</v>
      </c>
      <c r="J39" s="13" t="n">
        <f aca="false">I39*(1-Inputs!E29)+I41/MAX(I36,1)</f>
        <v>11.0805739784399</v>
      </c>
      <c r="K39" s="13" t="n">
        <f aca="false">J39*(1-Inputs!E29)+J41/MAX(J36,1)</f>
        <v>13.0563047845511</v>
      </c>
      <c r="L39" s="13" t="n">
        <f aca="false">K39*(1-Inputs!E29)+K41/MAX(K36,1)</f>
        <v>15.1680154106856</v>
      </c>
      <c r="M39" s="13" t="n">
        <f aca="false">L39*(1-Inputs!E29)+L41/MAX(L36,1)</f>
        <v>17.0755015153563</v>
      </c>
    </row>
    <row r="40" customFormat="false" ht="15" hidden="false" customHeight="false" outlineLevel="0" collapsed="false">
      <c r="B40" s="9" t="s">
        <v>99</v>
      </c>
      <c r="C40" s="11" t="n">
        <f aca="false">Inputs!E35</f>
        <v>50</v>
      </c>
      <c r="D40" s="11" t="n">
        <f aca="false">MAX(0,C40+Inputs!E30*Decisions!C22)</f>
        <v>50</v>
      </c>
      <c r="E40" s="11" t="n">
        <f aca="false">MAX(0,D40+Inputs!E30*Decisions!D22)</f>
        <v>50</v>
      </c>
      <c r="F40" s="11" t="n">
        <f aca="false">MAX(0,E40+Inputs!E30*Decisions!E22)</f>
        <v>50</v>
      </c>
      <c r="G40" s="11" t="n">
        <f aca="false">MAX(0,F40+Inputs!E30*Decisions!F22)</f>
        <v>50</v>
      </c>
      <c r="H40" s="11" t="n">
        <f aca="false">MAX(0,G40+Inputs!E30*Decisions!G22-Inputs!E32*C40)</f>
        <v>42.5</v>
      </c>
      <c r="I40" s="11" t="n">
        <f aca="false">MAX(0,H40+Inputs!E30*Decisions!H22-Inputs!E32*D40)</f>
        <v>35</v>
      </c>
      <c r="J40" s="11" t="n">
        <f aca="false">MAX(0,I40+Inputs!E30*Decisions!I22-Inputs!E32*E40)</f>
        <v>27.5</v>
      </c>
      <c r="K40" s="11" t="n">
        <f aca="false">MAX(0,J40+Inputs!E30*Decisions!J22-Inputs!E32*F40)</f>
        <v>20</v>
      </c>
      <c r="L40" s="11" t="n">
        <f aca="false">MAX(0,K40+Inputs!E30*Decisions!K22-Inputs!E32*G40)</f>
        <v>12.5</v>
      </c>
      <c r="M40" s="11" t="n">
        <f aca="false">MAX(0,L40+Inputs!E30*Decisions!L22-Inputs!E32*H40)</f>
        <v>6.125</v>
      </c>
    </row>
    <row r="41" customFormat="false" ht="15" hidden="false" customHeight="false" outlineLevel="0" collapsed="false">
      <c r="B41" s="9" t="s">
        <v>100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f aca="false">Inputs!E32*C40</f>
        <v>7.5</v>
      </c>
      <c r="H41" s="11" t="n">
        <f aca="false">Inputs!E32*D40</f>
        <v>7.5</v>
      </c>
      <c r="I41" s="11" t="n">
        <f aca="false">Inputs!E32*E40</f>
        <v>7.5</v>
      </c>
      <c r="J41" s="11" t="n">
        <f aca="false">Inputs!E32*F40</f>
        <v>7.5</v>
      </c>
      <c r="K41" s="11" t="n">
        <f aca="false">Inputs!E32*G40</f>
        <v>7.5</v>
      </c>
      <c r="L41" s="11" t="n">
        <f aca="false">Inputs!E32*H40</f>
        <v>6.375</v>
      </c>
      <c r="M41" s="11" t="n">
        <f aca="false">Inputs!E32*I40</f>
        <v>5.25</v>
      </c>
    </row>
    <row r="42" customFormat="false" ht="15" hidden="false" customHeight="false" outlineLevel="0" collapsed="false">
      <c r="B42" s="9" t="s">
        <v>101</v>
      </c>
      <c r="C42" s="11" t="n">
        <f aca="false">C39*C36</f>
        <v>36</v>
      </c>
      <c r="D42" s="11" t="n">
        <f aca="false">D39*D36</f>
        <v>33.42006</v>
      </c>
      <c r="E42" s="11" t="n">
        <f aca="false">E39*E36</f>
        <v>31.0250114001</v>
      </c>
      <c r="F42" s="11" t="n">
        <f aca="false">F39*F36</f>
        <v>28.8016039581118</v>
      </c>
      <c r="G42" s="11" t="n">
        <f aca="false">G39*G36</f>
        <v>26.7375370104538</v>
      </c>
      <c r="H42" s="11" t="n">
        <f aca="false">H39*H36</f>
        <v>31.8188914205996</v>
      </c>
      <c r="I42" s="11" t="n">
        <f aca="false">I39*I36</f>
        <v>36.5360905669423</v>
      </c>
      <c r="J42" s="11" t="n">
        <f aca="false">J39*J36</f>
        <v>40.9152316364624</v>
      </c>
      <c r="K42" s="11" t="n">
        <f aca="false">K39*K36</f>
        <v>44.9805415612353</v>
      </c>
      <c r="L42" s="11" t="n">
        <f aca="false">L39*L36</f>
        <v>48.7545110502494</v>
      </c>
      <c r="M42" s="11" t="n">
        <f aca="false">M39*M36</f>
        <v>51.2083940158333</v>
      </c>
    </row>
    <row r="43" customFormat="false" ht="15" hidden="false" customHeight="false" outlineLevel="0" collapsed="false">
      <c r="B43" s="9" t="s">
        <v>102</v>
      </c>
      <c r="C43" s="11" t="n">
        <f aca="false">C38*C36</f>
        <v>28.8</v>
      </c>
      <c r="D43" s="11" t="n">
        <f aca="false">D38*D36</f>
        <v>25.7388888517549</v>
      </c>
      <c r="E43" s="11" t="n">
        <f aca="false">E38*E36</f>
        <v>23.2301656361247</v>
      </c>
      <c r="F43" s="11" t="n">
        <f aca="false">F38*F36</f>
        <v>21.1031203239186</v>
      </c>
      <c r="G43" s="11" t="n">
        <f aca="false">G38*G36</f>
        <v>19.2599420580648</v>
      </c>
      <c r="H43" s="11" t="n">
        <f aca="false">H38*H36</f>
        <v>17.6386824434732</v>
      </c>
      <c r="I43" s="11" t="n">
        <f aca="false">I38*I36</f>
        <v>16.1971802713795</v>
      </c>
      <c r="J43" s="11" t="n">
        <f aca="false">J38*J36</f>
        <v>14.9051454049516</v>
      </c>
      <c r="K43" s="11" t="n">
        <f aca="false">K38*K36</f>
        <v>13.7398818504491</v>
      </c>
      <c r="L43" s="11" t="n">
        <f aca="false">L38*L36</f>
        <v>12.6838059182477</v>
      </c>
      <c r="M43" s="11" t="n">
        <f aca="false">M38*M36</f>
        <v>11.7229216139658</v>
      </c>
    </row>
    <row r="44" customFormat="false" ht="15" hidden="false" customHeight="false" outlineLevel="0" collapsed="false">
      <c r="B44" s="9" t="s">
        <v>103</v>
      </c>
      <c r="C44" s="11" t="n">
        <f aca="false">C42-C43-Inputs!B42-Decisions!C22</f>
        <v>2.2</v>
      </c>
      <c r="D44" s="11" t="n">
        <f aca="false">D42-D43-Inputs!C42-Decisions!D22</f>
        <v>0.681171148245131</v>
      </c>
      <c r="E44" s="11" t="n">
        <f aca="false">E42-E43-Inputs!D42-Decisions!E22</f>
        <v>-2.20515423602464</v>
      </c>
      <c r="F44" s="11" t="n">
        <f aca="false">F42-F43-Inputs!E42-Decisions!F22</f>
        <v>-6.30151636580671</v>
      </c>
      <c r="G44" s="11" t="n">
        <f aca="false">G42-G43-Inputs!F42-Decisions!G22</f>
        <v>-11.5224050476111</v>
      </c>
      <c r="H44" s="11" t="n">
        <f aca="false">H42-H43-Inputs!G42-Decisions!H22</f>
        <v>-10.8197910228736</v>
      </c>
      <c r="I44" s="11" t="n">
        <f aca="false">I42-I43-Inputs!H42-Decisions!I22</f>
        <v>-11.6610897044372</v>
      </c>
      <c r="J44" s="11" t="n">
        <f aca="false">J42-J43-Inputs!I42-Decisions!J22</f>
        <v>-13.9899137684892</v>
      </c>
      <c r="K44" s="11" t="n">
        <f aca="false">K42-K43-Inputs!J42-Decisions!K22</f>
        <v>-16.7593402892138</v>
      </c>
      <c r="L44" s="11" t="n">
        <f aca="false">L42-L43-Inputs!K42-Decisions!L22</f>
        <v>-19.9292948679983</v>
      </c>
      <c r="M44" s="11" t="n">
        <f aca="false">M42-M43-Inputs!L42-Decisions!M22</f>
        <v>-25.5145275981325</v>
      </c>
    </row>
    <row r="46" customFormat="false" ht="15" hidden="false" customHeight="false" outlineLevel="0" collapsed="false">
      <c r="A46" s="1" t="s">
        <v>53</v>
      </c>
      <c r="B46" s="9" t="s">
        <v>94</v>
      </c>
      <c r="C46" s="11" t="n">
        <f aca="false">Inputs!F34</f>
        <v>350</v>
      </c>
      <c r="D46" s="11" t="n">
        <f aca="false">(1-Inputs!F24)*C46</f>
        <v>326.55</v>
      </c>
      <c r="E46" s="11" t="n">
        <f aca="false">(1-Inputs!F24)*D46</f>
        <v>304.67115</v>
      </c>
      <c r="F46" s="11" t="n">
        <f aca="false">(1-Inputs!F24)*E46+(Decisions!C15)/Inputs!F22</f>
        <v>284.25818295</v>
      </c>
      <c r="G46" s="11" t="n">
        <f aca="false">(1-Inputs!F24)*F46+(Decisions!D15)/Inputs!F22</f>
        <v>265.21288469235</v>
      </c>
      <c r="H46" s="11" t="n">
        <f aca="false">(1-Inputs!F24)*G46+(Decisions!E15)/Inputs!F22</f>
        <v>247.443621417963</v>
      </c>
      <c r="I46" s="11" t="n">
        <f aca="false">(1-Inputs!F24)*H46+(Decisions!F15)/Inputs!F22</f>
        <v>230.864898782959</v>
      </c>
      <c r="J46" s="11" t="n">
        <f aca="false">(1-Inputs!F24)*I46+(Decisions!G15)/Inputs!F22</f>
        <v>215.396950564501</v>
      </c>
      <c r="K46" s="11" t="n">
        <f aca="false">(1-Inputs!F24)*J46+(Decisions!H15)/Inputs!F22</f>
        <v>200.965354876679</v>
      </c>
      <c r="L46" s="11" t="n">
        <f aca="false">(1-Inputs!F24)*K46+(Decisions!I15)/Inputs!F22</f>
        <v>187.500676099942</v>
      </c>
      <c r="M46" s="11" t="n">
        <f aca="false">(1-Inputs!F24)*L46+(Decisions!J15)/Inputs!F22</f>
        <v>174.938130801246</v>
      </c>
    </row>
    <row r="47" customFormat="false" ht="15" hidden="false" customHeight="false" outlineLevel="0" collapsed="false">
      <c r="B47" s="9" t="s">
        <v>95</v>
      </c>
      <c r="C47" s="11" t="n">
        <f aca="false">MIN(C46,Inputs!F21*Decisions!C7)</f>
        <v>350</v>
      </c>
      <c r="D47" s="11" t="n">
        <f aca="false">MIN(D46,Inputs!F21*Decisions!D7)</f>
        <v>326.55</v>
      </c>
      <c r="E47" s="11" t="n">
        <f aca="false">MIN(E46,Inputs!F21*Decisions!E7)</f>
        <v>304.67115</v>
      </c>
      <c r="F47" s="11" t="n">
        <f aca="false">MIN(F46,Inputs!F21*Decisions!F7)</f>
        <v>284.25818295</v>
      </c>
      <c r="G47" s="11" t="n">
        <f aca="false">MIN(G46,Inputs!F21*Decisions!G7)</f>
        <v>265.21288469235</v>
      </c>
      <c r="H47" s="11" t="n">
        <f aca="false">MIN(H46,Inputs!F21*Decisions!H7)</f>
        <v>247.443621417963</v>
      </c>
      <c r="I47" s="11" t="n">
        <f aca="false">MIN(I46,Inputs!F21*Decisions!I7)</f>
        <v>230.864898782959</v>
      </c>
      <c r="J47" s="11" t="n">
        <f aca="false">MIN(J46,Inputs!F21*Decisions!J7)</f>
        <v>215.396950564501</v>
      </c>
      <c r="K47" s="11" t="n">
        <f aca="false">MIN(K46,Inputs!F21*Decisions!K7)</f>
        <v>200.965354876679</v>
      </c>
      <c r="L47" s="11" t="n">
        <f aca="false">MIN(L46,Inputs!F21*Decisions!L7)</f>
        <v>187.500676099942</v>
      </c>
      <c r="M47" s="11" t="n">
        <f aca="false">MIN(M46,Inputs!F21*Decisions!M7)</f>
        <v>174.938130801246</v>
      </c>
    </row>
    <row r="48" customFormat="false" ht="15" hidden="false" customHeight="false" outlineLevel="0" collapsed="false">
      <c r="B48" s="9" t="s">
        <v>96</v>
      </c>
      <c r="C48" s="12" t="n">
        <f aca="false">Inputs!F27</f>
        <v>3000</v>
      </c>
      <c r="D48" s="12" t="n">
        <f aca="false">C48+C47</f>
        <v>3350</v>
      </c>
      <c r="E48" s="12" t="n">
        <f aca="false">D48+D47</f>
        <v>3676.55</v>
      </c>
      <c r="F48" s="12" t="n">
        <f aca="false">E48+E47</f>
        <v>3981.22115</v>
      </c>
      <c r="G48" s="12" t="n">
        <f aca="false">F48+F47</f>
        <v>4265.47933295</v>
      </c>
      <c r="H48" s="12" t="n">
        <f aca="false">G48+G47</f>
        <v>4530.69221764235</v>
      </c>
      <c r="I48" s="12" t="n">
        <f aca="false">H48+H47</f>
        <v>4778.13583906031</v>
      </c>
      <c r="J48" s="12" t="n">
        <f aca="false">I48+I47</f>
        <v>5009.00073784327</v>
      </c>
      <c r="K48" s="12" t="n">
        <f aca="false">J48+J47</f>
        <v>5224.39768840777</v>
      </c>
      <c r="L48" s="12" t="n">
        <f aca="false">K48+K47</f>
        <v>5425.36304328445</v>
      </c>
      <c r="M48" s="12" t="n">
        <f aca="false">L48+L47</f>
        <v>5612.86371938439</v>
      </c>
    </row>
    <row r="49" customFormat="false" ht="15" hidden="false" customHeight="false" outlineLevel="0" collapsed="false">
      <c r="B49" s="9" t="s">
        <v>97</v>
      </c>
      <c r="C49" s="13" t="n">
        <f aca="false">Inputs!F25*(C48/Inputs!F27)^(-Inputs!F26)</f>
        <v>0.6</v>
      </c>
      <c r="D49" s="13" t="n">
        <f aca="false">Inputs!F25*(D48/Inputs!F27)^(-Inputs!F26)</f>
        <v>0.593415512653445</v>
      </c>
      <c r="E49" s="13" t="n">
        <f aca="false">Inputs!F25*(E48/Inputs!F27)^(-Inputs!F26)</f>
        <v>0.587921480747204</v>
      </c>
      <c r="F49" s="13" t="n">
        <f aca="false">Inputs!F25*(F48/Inputs!F27)^(-Inputs!F26)</f>
        <v>0.583259398447818</v>
      </c>
      <c r="G49" s="13" t="n">
        <f aca="false">Inputs!F25*(G48/Inputs!F27)^(-Inputs!F26)</f>
        <v>0.579250732491893</v>
      </c>
      <c r="H49" s="13" t="n">
        <f aca="false">Inputs!F25*(H48/Inputs!F27)^(-Inputs!F26)</f>
        <v>0.575767198978779</v>
      </c>
      <c r="I49" s="13" t="n">
        <f aca="false">Inputs!F25*(I48/Inputs!F27)^(-Inputs!F26)</f>
        <v>0.572713640056566</v>
      </c>
      <c r="J49" s="13" t="n">
        <f aca="false">Inputs!F25*(J48/Inputs!F27)^(-Inputs!F26)</f>
        <v>0.57001760135104</v>
      </c>
      <c r="K49" s="13" t="n">
        <f aca="false">Inputs!F25*(K48/Inputs!F27)^(-Inputs!F26)</f>
        <v>0.567622697172076</v>
      </c>
      <c r="L49" s="13" t="n">
        <f aca="false">Inputs!F25*(L48/Inputs!F27)^(-Inputs!F26)</f>
        <v>0.565484226596119</v>
      </c>
      <c r="M49" s="13" t="n">
        <f aca="false">Inputs!F25*(M48/Inputs!F27)^(-Inputs!F26)</f>
        <v>0.56356618413418</v>
      </c>
    </row>
    <row r="50" customFormat="false" ht="15" hidden="false" customHeight="false" outlineLevel="0" collapsed="false">
      <c r="B50" s="9" t="s">
        <v>98</v>
      </c>
      <c r="C50" s="13" t="n">
        <f aca="false">Inputs!F28</f>
        <v>1</v>
      </c>
      <c r="D50" s="13" t="n">
        <f aca="false">C50*(1-Inputs!F29)+C52/MAX(C47,1)</f>
        <v>0.975</v>
      </c>
      <c r="E50" s="13" t="n">
        <f aca="false">D50*(1-Inputs!F29)+D52/MAX(D47,1)</f>
        <v>0.950625</v>
      </c>
      <c r="F50" s="13" t="n">
        <f aca="false">E50*(1-Inputs!F29)+E52/MAX(E47,1)</f>
        <v>0.943270512057119</v>
      </c>
      <c r="G50" s="13" t="n">
        <f aca="false">F50*(1-Inputs!F29)+F52/MAX(F47,1)</f>
        <v>0.937278392403728</v>
      </c>
      <c r="H50" s="13" t="n">
        <f aca="false">G50*(1-Inputs!F29)+G52/MAX(G47,1)</f>
        <v>0.932699211959162</v>
      </c>
      <c r="I50" s="13" t="n">
        <f aca="false">H50*(1-Inputs!F29)+H52/MAX(H47,1)</f>
        <v>0.924536698995817</v>
      </c>
      <c r="J50" s="13" t="n">
        <f aca="false">I50*(1-Inputs!F29)+I52/MAX(I47,1)</f>
        <v>0.912252125633556</v>
      </c>
      <c r="K50" s="13" t="n">
        <f aca="false">J50*(1-Inputs!F29)+J52/MAX(J47,1)</f>
        <v>0.895249061567013</v>
      </c>
      <c r="L50" s="13" t="n">
        <f aca="false">K50*(1-Inputs!F29)+K52/MAX(K47,1)</f>
        <v>0.874422829420736</v>
      </c>
      <c r="M50" s="13" t="n">
        <f aca="false">L50*(1-Inputs!F29)+L52/MAX(L47,1)</f>
        <v>0.852562258685217</v>
      </c>
    </row>
    <row r="51" customFormat="false" ht="15" hidden="false" customHeight="false" outlineLevel="0" collapsed="false">
      <c r="B51" s="9" t="s">
        <v>99</v>
      </c>
      <c r="C51" s="11" t="n">
        <f aca="false">Inputs!F35</f>
        <v>20</v>
      </c>
      <c r="D51" s="11" t="n">
        <f aca="false">MAX(0,C51+Inputs!F30*Decisions!C23)</f>
        <v>20</v>
      </c>
      <c r="E51" s="11" t="n">
        <f aca="false">MAX(0,D51+Inputs!F30*Decisions!D23)</f>
        <v>20</v>
      </c>
      <c r="F51" s="11" t="n">
        <f aca="false">MAX(0,E51+Inputs!F30*Decisions!E23-Inputs!F32*C51)</f>
        <v>15</v>
      </c>
      <c r="G51" s="11" t="n">
        <f aca="false">MAX(0,F51+Inputs!F30*Decisions!F23-Inputs!F32*D51)</f>
        <v>10</v>
      </c>
      <c r="H51" s="11" t="n">
        <f aca="false">MAX(0,G51+Inputs!F30*Decisions!G23-Inputs!F32*E51)</f>
        <v>5</v>
      </c>
      <c r="I51" s="11" t="n">
        <f aca="false">MAX(0,H51+Inputs!F30*Decisions!H23-Inputs!F32*F51)</f>
        <v>1.25</v>
      </c>
      <c r="J51" s="11" t="n">
        <f aca="false">MAX(0,I51+Inputs!F30*Decisions!I23-Inputs!F32*G51)</f>
        <v>0</v>
      </c>
      <c r="K51" s="11" t="n">
        <f aca="false">MAX(0,J51+Inputs!F30*Decisions!J23-Inputs!F32*H51)</f>
        <v>0</v>
      </c>
      <c r="L51" s="11" t="n">
        <f aca="false">MAX(0,K51+Inputs!F30*Decisions!K23-Inputs!F32*I51)</f>
        <v>0</v>
      </c>
      <c r="M51" s="11" t="n">
        <f aca="false">MAX(0,L51+Inputs!F30*Decisions!L23-Inputs!F32*J51)</f>
        <v>0</v>
      </c>
    </row>
    <row r="52" customFormat="false" ht="15" hidden="false" customHeight="false" outlineLevel="0" collapsed="false">
      <c r="B52" s="9" t="s">
        <v>100</v>
      </c>
      <c r="C52" s="11" t="n">
        <v>0</v>
      </c>
      <c r="D52" s="11" t="n">
        <v>0</v>
      </c>
      <c r="E52" s="11" t="n">
        <f aca="false">Inputs!F32*C51</f>
        <v>5</v>
      </c>
      <c r="F52" s="11" t="n">
        <f aca="false">Inputs!F32*D51</f>
        <v>5</v>
      </c>
      <c r="G52" s="11" t="n">
        <f aca="false">Inputs!F32*E51</f>
        <v>5</v>
      </c>
      <c r="H52" s="11" t="n">
        <f aca="false">Inputs!F32*F51</f>
        <v>3.75</v>
      </c>
      <c r="I52" s="11" t="n">
        <f aca="false">Inputs!F32*G51</f>
        <v>2.5</v>
      </c>
      <c r="J52" s="11" t="n">
        <f aca="false">Inputs!F32*H51</f>
        <v>1.25</v>
      </c>
      <c r="K52" s="11" t="n">
        <f aca="false">Inputs!F32*I51</f>
        <v>0.3125</v>
      </c>
      <c r="L52" s="11" t="n">
        <f aca="false">Inputs!F32*J51</f>
        <v>0</v>
      </c>
      <c r="M52" s="11" t="n">
        <f aca="false">Inputs!F32*K51</f>
        <v>0</v>
      </c>
    </row>
    <row r="53" customFormat="false" ht="15" hidden="false" customHeight="false" outlineLevel="0" collapsed="false">
      <c r="B53" s="9" t="s">
        <v>101</v>
      </c>
      <c r="C53" s="11" t="n">
        <f aca="false">C50*C47</f>
        <v>350</v>
      </c>
      <c r="D53" s="11" t="n">
        <f aca="false">D50*D47</f>
        <v>318.38625</v>
      </c>
      <c r="E53" s="11" t="n">
        <f aca="false">E50*E47</f>
        <v>289.62801196875</v>
      </c>
      <c r="F53" s="11" t="n">
        <f aca="false">F50*F47</f>
        <v>268.132361787673</v>
      </c>
      <c r="G53" s="11" t="n">
        <f aca="false">G50*G47</f>
        <v>248.578306209201</v>
      </c>
      <c r="H53" s="11" t="n">
        <f aca="false">H50*H47</f>
        <v>230.790470700855</v>
      </c>
      <c r="I53" s="11" t="n">
        <f aca="false">I50*I47</f>
        <v>213.4430714348</v>
      </c>
      <c r="J53" s="11" t="n">
        <f aca="false">J50*J47</f>
        <v>196.496326007452</v>
      </c>
      <c r="K53" s="11" t="n">
        <f aca="false">K50*K47</f>
        <v>179.914045360829</v>
      </c>
      <c r="L53" s="11" t="n">
        <f aca="false">L50*L47</f>
        <v>163.954871713612</v>
      </c>
      <c r="M53" s="11" t="n">
        <f aca="false">M50*M47</f>
        <v>149.14564792608</v>
      </c>
    </row>
    <row r="54" customFormat="false" ht="15" hidden="false" customHeight="false" outlineLevel="0" collapsed="false">
      <c r="B54" s="9" t="s">
        <v>102</v>
      </c>
      <c r="C54" s="11" t="n">
        <f aca="false">C49*C47</f>
        <v>210</v>
      </c>
      <c r="D54" s="11" t="n">
        <f aca="false">D49*D47</f>
        <v>193.779835656982</v>
      </c>
      <c r="E54" s="11" t="n">
        <f aca="false">E49*E47</f>
        <v>179.122713648953</v>
      </c>
      <c r="F54" s="11" t="n">
        <f aca="false">F49*F47</f>
        <v>165.796256791287</v>
      </c>
      <c r="G54" s="11" t="n">
        <f aca="false">G49*G47</f>
        <v>153.624757724332</v>
      </c>
      <c r="H54" s="11" t="n">
        <f aca="false">H49*H47</f>
        <v>142.469920808986</v>
      </c>
      <c r="I54" s="11" t="n">
        <f aca="false">I49*I47</f>
        <v>132.219476543279</v>
      </c>
      <c r="J54" s="11" t="n">
        <f aca="false">J49*J47</f>
        <v>122.780053099105</v>
      </c>
      <c r="K54" s="11" t="n">
        <f aca="false">K49*K47</f>
        <v>114.072496773244</v>
      </c>
      <c r="L54" s="11" t="n">
        <f aca="false">L49*L47</f>
        <v>106.028674810625</v>
      </c>
      <c r="M54" s="11" t="n">
        <f aca="false">M49*M47</f>
        <v>98.5892148352241</v>
      </c>
    </row>
    <row r="55" customFormat="false" ht="15" hidden="false" customHeight="false" outlineLevel="0" collapsed="false">
      <c r="B55" s="9" t="s">
        <v>103</v>
      </c>
      <c r="C55" s="11" t="n">
        <f aca="false">C53-C54-Inputs!B43-Decisions!C23</f>
        <v>105</v>
      </c>
      <c r="D55" s="11" t="n">
        <f aca="false">D53-D54-Inputs!C43-Decisions!D23</f>
        <v>86.6064143430177</v>
      </c>
      <c r="E55" s="11" t="n">
        <f aca="false">E53-E54-Inputs!D43-Decisions!E23</f>
        <v>69.5052983197965</v>
      </c>
      <c r="F55" s="11" t="n">
        <f aca="false">F53-F54-Inputs!E43-Decisions!F23</f>
        <v>58.336104996386</v>
      </c>
      <c r="G55" s="11" t="n">
        <f aca="false">G53-G54-Inputs!F43-Decisions!G23</f>
        <v>46.9535484848695</v>
      </c>
      <c r="H55" s="11" t="n">
        <f aca="false">H53-H54-Inputs!G43-Decisions!H23</f>
        <v>36.3205498918695</v>
      </c>
      <c r="I55" s="11" t="n">
        <f aca="false">I53-I54-Inputs!H43-Decisions!I23</f>
        <v>25.2235948915211</v>
      </c>
      <c r="J55" s="11" t="n">
        <f aca="false">J53-J54-Inputs!I43-Decisions!J23</f>
        <v>13.7162729083467</v>
      </c>
      <c r="K55" s="11" t="n">
        <f aca="false">K53-K54-Inputs!J43-Decisions!K23</f>
        <v>1.84154858758484</v>
      </c>
      <c r="L55" s="11" t="n">
        <f aca="false">L53-L54-Inputs!K43-Decisions!L23</f>
        <v>-10.0738030970129</v>
      </c>
      <c r="M55" s="11" t="n">
        <f aca="false">M53-M54-Inputs!L43-Decisions!M23</f>
        <v>-21.4435669091441</v>
      </c>
    </row>
    <row r="57" customFormat="false" ht="15" hidden="false" customHeight="false" outlineLevel="0" collapsed="false">
      <c r="A57" s="1" t="s">
        <v>54</v>
      </c>
      <c r="B57" s="9" t="s">
        <v>94</v>
      </c>
      <c r="C57" s="11" t="n">
        <f aca="false">Inputs!G34</f>
        <v>12</v>
      </c>
      <c r="D57" s="11" t="n">
        <f aca="false">(1-Inputs!G24)*C57</f>
        <v>11.196</v>
      </c>
      <c r="E57" s="11" t="n">
        <f aca="false">(1-Inputs!G24)*D57</f>
        <v>10.445868</v>
      </c>
      <c r="F57" s="11" t="n">
        <f aca="false">(1-Inputs!G24)*E57</f>
        <v>9.745994844</v>
      </c>
      <c r="G57" s="11" t="n">
        <f aca="false">(1-Inputs!G24)*F57</f>
        <v>9.093013189452</v>
      </c>
      <c r="H57" s="11" t="n">
        <f aca="false">(1-Inputs!G24)*G57+(Decisions!C16)/Inputs!G22</f>
        <v>8.48378130575872</v>
      </c>
      <c r="I57" s="11" t="n">
        <f aca="false">(1-Inputs!G24)*H57+(Decisions!D16)/Inputs!G22</f>
        <v>7.91536795827289</v>
      </c>
      <c r="J57" s="11" t="n">
        <f aca="false">(1-Inputs!G24)*I57+(Decisions!E16)/Inputs!G22</f>
        <v>7.3850383050686</v>
      </c>
      <c r="K57" s="11" t="n">
        <f aca="false">(1-Inputs!G24)*J57+(Decisions!F16)/Inputs!G22</f>
        <v>6.89024073862901</v>
      </c>
      <c r="L57" s="11" t="n">
        <f aca="false">(1-Inputs!G24)*K57+(Decisions!G16)/Inputs!G22</f>
        <v>6.42859460914087</v>
      </c>
      <c r="M57" s="11" t="n">
        <f aca="false">(1-Inputs!G24)*L57+(Decisions!H16)/Inputs!G22</f>
        <v>5.99787877032843</v>
      </c>
    </row>
    <row r="58" customFormat="false" ht="15" hidden="false" customHeight="false" outlineLevel="0" collapsed="false">
      <c r="B58" s="9" t="s">
        <v>95</v>
      </c>
      <c r="C58" s="11" t="n">
        <f aca="false">MIN(C57,Inputs!G21*Decisions!C8)</f>
        <v>12</v>
      </c>
      <c r="D58" s="11" t="n">
        <f aca="false">MIN(D57,Inputs!G21*Decisions!D8)</f>
        <v>11.196</v>
      </c>
      <c r="E58" s="11" t="n">
        <f aca="false">MIN(E57,Inputs!G21*Decisions!E8)</f>
        <v>10.445868</v>
      </c>
      <c r="F58" s="11" t="n">
        <f aca="false">MIN(F57,Inputs!G21*Decisions!F8)</f>
        <v>9.745994844</v>
      </c>
      <c r="G58" s="11" t="n">
        <f aca="false">MIN(G57,Inputs!G21*Decisions!G8)</f>
        <v>9.093013189452</v>
      </c>
      <c r="H58" s="11" t="n">
        <f aca="false">MIN(H57,Inputs!G21*Decisions!H8)</f>
        <v>8.48378130575872</v>
      </c>
      <c r="I58" s="11" t="n">
        <f aca="false">MIN(I57,Inputs!G21*Decisions!I8)</f>
        <v>7.91536795827289</v>
      </c>
      <c r="J58" s="11" t="n">
        <f aca="false">MIN(J57,Inputs!G21*Decisions!J8)</f>
        <v>7.3850383050686</v>
      </c>
      <c r="K58" s="11" t="n">
        <f aca="false">MIN(K57,Inputs!G21*Decisions!K8)</f>
        <v>6.89024073862901</v>
      </c>
      <c r="L58" s="11" t="n">
        <f aca="false">MIN(L57,Inputs!G21*Decisions!L8)</f>
        <v>6.42859460914087</v>
      </c>
      <c r="M58" s="11" t="n">
        <f aca="false">MIN(M57,Inputs!G21*Decisions!M8)</f>
        <v>5.99787877032843</v>
      </c>
    </row>
    <row r="59" customFormat="false" ht="15" hidden="false" customHeight="false" outlineLevel="0" collapsed="false">
      <c r="B59" s="9" t="s">
        <v>96</v>
      </c>
      <c r="C59" s="12" t="n">
        <f aca="false">Inputs!G27</f>
        <v>50</v>
      </c>
      <c r="D59" s="12" t="n">
        <f aca="false">C59+C58</f>
        <v>62</v>
      </c>
      <c r="E59" s="12" t="n">
        <f aca="false">D59+D58</f>
        <v>73.196</v>
      </c>
      <c r="F59" s="12" t="n">
        <f aca="false">E59+E58</f>
        <v>83.641868</v>
      </c>
      <c r="G59" s="12" t="n">
        <f aca="false">F59+F58</f>
        <v>93.387862844</v>
      </c>
      <c r="H59" s="12" t="n">
        <f aca="false">G59+G58</f>
        <v>102.480876033452</v>
      </c>
      <c r="I59" s="12" t="n">
        <f aca="false">H59+H58</f>
        <v>110.964657339211</v>
      </c>
      <c r="J59" s="12" t="n">
        <f aca="false">I59+I58</f>
        <v>118.880025297484</v>
      </c>
      <c r="K59" s="12" t="n">
        <f aca="false">J59+J58</f>
        <v>126.265063602552</v>
      </c>
      <c r="L59" s="12" t="n">
        <f aca="false">K59+K58</f>
        <v>133.155304341181</v>
      </c>
      <c r="M59" s="12" t="n">
        <f aca="false">L59+L58</f>
        <v>139.583898950322</v>
      </c>
    </row>
    <row r="60" customFormat="false" ht="15" hidden="false" customHeight="false" outlineLevel="0" collapsed="false">
      <c r="B60" s="9" t="s">
        <v>97</v>
      </c>
      <c r="C60" s="13" t="n">
        <f aca="false">Inputs!G25*(C59/Inputs!G27)^(-Inputs!G26)</f>
        <v>4.5</v>
      </c>
      <c r="D60" s="13" t="n">
        <f aca="false">Inputs!G25*(D59/Inputs!G27)^(-Inputs!G26)</f>
        <v>4.32908995749137</v>
      </c>
      <c r="E60" s="13" t="n">
        <f aca="false">Inputs!G25*(E59/Inputs!G27)^(-Inputs!G26)</f>
        <v>4.20164534890016</v>
      </c>
      <c r="F60" s="13" t="n">
        <f aca="false">Inputs!G25*(F59/Inputs!G27)^(-Inputs!G26)</f>
        <v>4.10195455272148</v>
      </c>
      <c r="G60" s="13" t="n">
        <f aca="false">Inputs!G25*(G59/Inputs!G27)^(-Inputs!G26)</f>
        <v>4.02137742829201</v>
      </c>
      <c r="H60" s="13" t="n">
        <f aca="false">Inputs!G25*(H59/Inputs!G27)^(-Inputs!G26)</f>
        <v>3.95468052592321</v>
      </c>
      <c r="I60" s="13" t="n">
        <f aca="false">Inputs!G25*(I59/Inputs!G27)^(-Inputs!G26)</f>
        <v>3.89846709406465</v>
      </c>
      <c r="J60" s="13" t="n">
        <f aca="false">Inputs!G25*(J59/Inputs!G27)^(-Inputs!G26)</f>
        <v>3.85041476965584</v>
      </c>
      <c r="K60" s="13" t="n">
        <f aca="false">Inputs!G25*(K59/Inputs!G27)^(-Inputs!G26)</f>
        <v>3.80886989611624</v>
      </c>
      <c r="L60" s="13" t="n">
        <f aca="false">Inputs!G25*(L59/Inputs!G27)^(-Inputs!G26)</f>
        <v>3.77261589037389</v>
      </c>
      <c r="M60" s="13" t="n">
        <f aca="false">Inputs!G25*(M59/Inputs!G27)^(-Inputs!G26)</f>
        <v>3.74073338839844</v>
      </c>
    </row>
    <row r="61" customFormat="false" ht="15" hidden="false" customHeight="false" outlineLevel="0" collapsed="false">
      <c r="B61" s="9" t="s">
        <v>98</v>
      </c>
      <c r="C61" s="13" t="n">
        <f aca="false">Inputs!G28</f>
        <v>6</v>
      </c>
      <c r="D61" s="13" t="n">
        <f aca="false">C61*(1-Inputs!G29)+C63/MAX(C58,1)</f>
        <v>5.97</v>
      </c>
      <c r="E61" s="13" t="n">
        <f aca="false">D61*(1-Inputs!G29)+D63/MAX(D58,1)</f>
        <v>5.94015</v>
      </c>
      <c r="F61" s="13" t="n">
        <f aca="false">E61*(1-Inputs!G29)+E63/MAX(E58,1)</f>
        <v>5.91044925</v>
      </c>
      <c r="G61" s="13" t="n">
        <f aca="false">F61*(1-Inputs!G29)+F63/MAX(F58,1)</f>
        <v>5.88089700375</v>
      </c>
      <c r="H61" s="13" t="n">
        <f aca="false">G61*(1-Inputs!G29)+G63/MAX(G58,1)</f>
        <v>6.34637797707635</v>
      </c>
      <c r="I61" s="13" t="n">
        <f aca="false">H61*(1-Inputs!G29)+H63/MAX(H58,1)</f>
        <v>6.84506994393813</v>
      </c>
      <c r="J61" s="13" t="n">
        <f aca="false">I61*(1-Inputs!G29)+I63/MAX(I58,1)</f>
        <v>7.37935891013179</v>
      </c>
      <c r="K61" s="13" t="n">
        <f aca="false">J61*(1-Inputs!G29)+J63/MAX(J58,1)</f>
        <v>7.95180221838216</v>
      </c>
      <c r="L61" s="13" t="n">
        <f aca="false">K61*(1-Inputs!G29)+K63/MAX(K58,1)</f>
        <v>8.56514085230742</v>
      </c>
      <c r="M61" s="13" t="n">
        <f aca="false">L61*(1-Inputs!G29)+L63/MAX(L58,1)</f>
        <v>9.11731300256314</v>
      </c>
    </row>
    <row r="62" customFormat="false" ht="15" hidden="false" customHeight="false" outlineLevel="0" collapsed="false">
      <c r="B62" s="9" t="s">
        <v>99</v>
      </c>
      <c r="C62" s="11" t="n">
        <f aca="false">Inputs!G35</f>
        <v>30</v>
      </c>
      <c r="D62" s="11" t="n">
        <f aca="false">MAX(0,C62+Inputs!G30*Decisions!C24)</f>
        <v>30</v>
      </c>
      <c r="E62" s="11" t="n">
        <f aca="false">MAX(0,D62+Inputs!G30*Decisions!D24)</f>
        <v>30</v>
      </c>
      <c r="F62" s="11" t="n">
        <f aca="false">MAX(0,E62+Inputs!G30*Decisions!E24)</f>
        <v>30</v>
      </c>
      <c r="G62" s="11" t="n">
        <f aca="false">MAX(0,F62+Inputs!G30*Decisions!F24)</f>
        <v>30</v>
      </c>
      <c r="H62" s="11" t="n">
        <f aca="false">MAX(0,G62+Inputs!G30*Decisions!G24-Inputs!G32*C62)</f>
        <v>25.5</v>
      </c>
      <c r="I62" s="11" t="n">
        <f aca="false">MAX(0,H62+Inputs!G30*Decisions!H24-Inputs!G32*D62)</f>
        <v>21</v>
      </c>
      <c r="J62" s="11" t="n">
        <f aca="false">MAX(0,I62+Inputs!G30*Decisions!I24-Inputs!G32*E62)</f>
        <v>16.5</v>
      </c>
      <c r="K62" s="11" t="n">
        <f aca="false">MAX(0,J62+Inputs!G30*Decisions!J24-Inputs!G32*F62)</f>
        <v>12</v>
      </c>
      <c r="L62" s="11" t="n">
        <f aca="false">MAX(0,K62+Inputs!G30*Decisions!K24-Inputs!G32*G62)</f>
        <v>7.5</v>
      </c>
      <c r="M62" s="11" t="n">
        <f aca="false">MAX(0,L62+Inputs!G30*Decisions!L24-Inputs!G32*H62)</f>
        <v>3.675</v>
      </c>
    </row>
    <row r="63" customFormat="false" ht="15" hidden="false" customHeight="false" outlineLevel="0" collapsed="false">
      <c r="B63" s="9" t="s">
        <v>100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f aca="false">Inputs!G32*C62</f>
        <v>4.5</v>
      </c>
      <c r="H63" s="11" t="n">
        <f aca="false">Inputs!G32*D62</f>
        <v>4.5</v>
      </c>
      <c r="I63" s="11" t="n">
        <f aca="false">Inputs!G32*E62</f>
        <v>4.5</v>
      </c>
      <c r="J63" s="11" t="n">
        <f aca="false">Inputs!G32*F62</f>
        <v>4.5</v>
      </c>
      <c r="K63" s="11" t="n">
        <f aca="false">Inputs!G32*G62</f>
        <v>4.5</v>
      </c>
      <c r="L63" s="11" t="n">
        <f aca="false">Inputs!G32*H62</f>
        <v>3.825</v>
      </c>
      <c r="M63" s="11" t="n">
        <f aca="false">Inputs!G32*I62</f>
        <v>3.15</v>
      </c>
    </row>
    <row r="64" customFormat="false" ht="15" hidden="false" customHeight="false" outlineLevel="0" collapsed="false">
      <c r="B64" s="9" t="s">
        <v>101</v>
      </c>
      <c r="C64" s="11" t="n">
        <f aca="false">C61*C58</f>
        <v>72</v>
      </c>
      <c r="D64" s="11" t="n">
        <f aca="false">D61*D58</f>
        <v>66.84012</v>
      </c>
      <c r="E64" s="11" t="n">
        <f aca="false">E61*E58</f>
        <v>62.0500228002</v>
      </c>
      <c r="F64" s="11" t="n">
        <f aca="false">F61*F58</f>
        <v>57.6032079162237</v>
      </c>
      <c r="G64" s="11" t="n">
        <f aca="false">G61*G58</f>
        <v>53.4750740209075</v>
      </c>
      <c r="H64" s="11" t="n">
        <f aca="false">H61*H58</f>
        <v>53.8412828411992</v>
      </c>
      <c r="I64" s="11" t="n">
        <f aca="false">I61*I58</f>
        <v>54.1812473063847</v>
      </c>
      <c r="J64" s="11" t="n">
        <f aca="false">J61*J58</f>
        <v>54.4968482181726</v>
      </c>
      <c r="K64" s="11" t="n">
        <f aca="false">K61*K58</f>
        <v>54.7898315906173</v>
      </c>
      <c r="L64" s="11" t="n">
        <f aca="false">L61*L58</f>
        <v>55.0618183096757</v>
      </c>
      <c r="M64" s="11" t="n">
        <f aca="false">M61*M58</f>
        <v>54.6845381005128</v>
      </c>
    </row>
    <row r="65" customFormat="false" ht="15" hidden="false" customHeight="false" outlineLevel="0" collapsed="false">
      <c r="B65" s="9" t="s">
        <v>102</v>
      </c>
      <c r="C65" s="11" t="n">
        <f aca="false">C60*C58</f>
        <v>54</v>
      </c>
      <c r="D65" s="11" t="n">
        <f aca="false">D60*D58</f>
        <v>48.4684911640733</v>
      </c>
      <c r="E65" s="11" t="n">
        <f aca="false">E60*E58</f>
        <v>43.889832697425</v>
      </c>
      <c r="F65" s="11" t="n">
        <f aca="false">F60*F58</f>
        <v>39.9776279211459</v>
      </c>
      <c r="G65" s="11" t="n">
        <f aca="false">G60*G58</f>
        <v>36.5664379952238</v>
      </c>
      <c r="H65" s="11" t="n">
        <f aca="false">H60*H58</f>
        <v>33.5506447160754</v>
      </c>
      <c r="I65" s="11" t="n">
        <f aca="false">I60*I58</f>
        <v>30.8578015227405</v>
      </c>
      <c r="J65" s="11" t="n">
        <f aca="false">J60*J58</f>
        <v>28.4354605643103</v>
      </c>
      <c r="K65" s="11" t="n">
        <f aca="false">K60*K58</f>
        <v>26.2440305263577</v>
      </c>
      <c r="L65" s="11" t="n">
        <f aca="false">L60*L58</f>
        <v>24.2526181752168</v>
      </c>
      <c r="M65" s="11" t="n">
        <f aca="false">M60*M58</f>
        <v>22.4364653757337</v>
      </c>
    </row>
    <row r="66" customFormat="false" ht="15" hidden="false" customHeight="false" outlineLevel="0" collapsed="false">
      <c r="B66" s="9" t="s">
        <v>103</v>
      </c>
      <c r="C66" s="11" t="n">
        <f aca="false">C64-C65-Inputs!B44-Decisions!C24</f>
        <v>10</v>
      </c>
      <c r="D66" s="11" t="n">
        <f aca="false">D64-D65-Inputs!C44-Decisions!D24</f>
        <v>8.37162883592667</v>
      </c>
      <c r="E66" s="11" t="n">
        <f aca="false">E64-E65-Inputs!D44-Decisions!E24</f>
        <v>6.16019010277503</v>
      </c>
      <c r="F66" s="11" t="n">
        <f aca="false">F64-F65-Inputs!E44-Decisions!F24</f>
        <v>2.6255799950778</v>
      </c>
      <c r="G66" s="11" t="n">
        <f aca="false">G64-G65-Inputs!F44-Decisions!G24</f>
        <v>-1.09136397431627</v>
      </c>
      <c r="H66" s="11" t="n">
        <f aca="false">H64-H65-Inputs!G44-Decisions!H24</f>
        <v>-1.70936187487623</v>
      </c>
      <c r="I66" s="11" t="n">
        <f aca="false">I64-I65-Inputs!H44-Decisions!I24</f>
        <v>-2.67655421635588</v>
      </c>
      <c r="J66" s="11" t="n">
        <f aca="false">J64-J65-Inputs!I44-Decisions!J24</f>
        <v>-3.93861234613767</v>
      </c>
      <c r="K66" s="11" t="n">
        <f aca="false">K64-K65-Inputs!J44-Decisions!K24</f>
        <v>-5.45419893574047</v>
      </c>
      <c r="L66" s="11" t="n">
        <f aca="false">L64-L65-Inputs!K44-Decisions!L24</f>
        <v>-7.19079986554109</v>
      </c>
      <c r="M66" s="11" t="n">
        <f aca="false">M64-M65-Inputs!L44-Decisions!M24</f>
        <v>-9.75192727522094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" t="s">
        <v>104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customFormat="false" ht="15" hidden="false" customHeight="false" outlineLevel="0" collapsed="false">
      <c r="A2" s="1" t="s">
        <v>105</v>
      </c>
      <c r="B2" s="14" t="n">
        <f aca="false">Dynamics!C11</f>
        <v>25.499997</v>
      </c>
      <c r="C2" s="14" t="n">
        <f aca="false">Dynamics!D11</f>
        <v>21.4404926602912</v>
      </c>
      <c r="D2" s="14" t="n">
        <f aca="false">Dynamics!E11</f>
        <v>14.7572639528057</v>
      </c>
      <c r="E2" s="14" t="n">
        <f aca="false">Dynamics!F11</f>
        <v>7.16534974836105</v>
      </c>
      <c r="F2" s="14" t="n">
        <f aca="false">Dynamics!G11</f>
        <v>6.56096279672653</v>
      </c>
      <c r="G2" s="14" t="n">
        <f aca="false">Dynamics!H11</f>
        <v>4.18144042177278</v>
      </c>
      <c r="H2" s="14" t="n">
        <f aca="false">Dynamics!I11</f>
        <v>1.24373812106344</v>
      </c>
      <c r="I2" s="14" t="n">
        <f aca="false">Dynamics!J11</f>
        <v>-2.10031359604355</v>
      </c>
      <c r="J2" s="14" t="n">
        <f aca="false">Dynamics!K11</f>
        <v>-7.23519761185617</v>
      </c>
      <c r="K2" s="14" t="n">
        <f aca="false">Dynamics!L11</f>
        <v>-13.9685915852139</v>
      </c>
      <c r="L2" s="14" t="n">
        <f aca="false">Dynamics!M11</f>
        <v>-22.1379562086228</v>
      </c>
    </row>
    <row r="3" customFormat="false" ht="15" hidden="false" customHeight="false" outlineLevel="0" collapsed="false">
      <c r="A3" s="1" t="s">
        <v>106</v>
      </c>
      <c r="B3" s="14" t="n">
        <f aca="false">Dynamics!C22</f>
        <v>28</v>
      </c>
      <c r="C3" s="14" t="n">
        <f aca="false">Dynamics!D22</f>
        <v>22.3131783200426</v>
      </c>
      <c r="D3" s="14" t="n">
        <f aca="false">Dynamics!E22</f>
        <v>15.5756108233955</v>
      </c>
      <c r="E3" s="14" t="n">
        <f aca="false">Dynamics!F22</f>
        <v>15.9231692719673</v>
      </c>
      <c r="F3" s="14" t="n">
        <f aca="false">Dynamics!G22</f>
        <v>14.8668534315759</v>
      </c>
      <c r="G3" s="14" t="n">
        <f aca="false">Dynamics!H22</f>
        <v>13.4921951072574</v>
      </c>
      <c r="H3" s="14" t="n">
        <f aca="false">Dynamics!I22</f>
        <v>10.1105483361219</v>
      </c>
      <c r="I3" s="14" t="n">
        <f aca="false">Dynamics!J22</f>
        <v>4.90807920550523</v>
      </c>
      <c r="J3" s="14" t="n">
        <f aca="false">Dynamics!K22</f>
        <v>-1.95157894976559</v>
      </c>
      <c r="K3" s="14" t="n">
        <f aca="false">Dynamics!L22</f>
        <v>-9.88574737431104</v>
      </c>
      <c r="L3" s="14" t="n">
        <f aca="false">Dynamics!M22</f>
        <v>-17.9250900652382</v>
      </c>
    </row>
    <row r="4" customFormat="false" ht="15" hidden="false" customHeight="false" outlineLevel="0" collapsed="false">
      <c r="A4" s="1" t="s">
        <v>107</v>
      </c>
      <c r="B4" s="14" t="n">
        <f aca="false">Dynamics!C33</f>
        <v>5.99999</v>
      </c>
      <c r="C4" s="14" t="n">
        <f aca="false">Dynamics!D33</f>
        <v>2.72742585420384</v>
      </c>
      <c r="D4" s="14" t="n">
        <f aca="false">Dynamics!E33</f>
        <v>-0.687044382177469</v>
      </c>
      <c r="E4" s="14" t="n">
        <f aca="false">Dynamics!F33</f>
        <v>-5.1226528774809</v>
      </c>
      <c r="F4" s="14" t="n">
        <f aca="false">Dynamics!G33</f>
        <v>-6.71754882680935</v>
      </c>
      <c r="G4" s="14" t="n">
        <f aca="false">Dynamics!H33</f>
        <v>-8.47745752760774</v>
      </c>
      <c r="H4" s="14" t="n">
        <f aca="false">Dynamics!I33</f>
        <v>-10.3653151265349</v>
      </c>
      <c r="I4" s="14" t="n">
        <f aca="false">Dynamics!J33</f>
        <v>-12.3553943445216</v>
      </c>
      <c r="J4" s="14" t="n">
        <f aca="false">Dynamics!K33</f>
        <v>-14.9890780516042</v>
      </c>
      <c r="K4" s="14" t="n">
        <f aca="false">Dynamics!L33</f>
        <v>-18.2048877330867</v>
      </c>
      <c r="L4" s="14" t="n">
        <f aca="false">Dynamics!M33</f>
        <v>-21.9488224524888</v>
      </c>
    </row>
    <row r="5" customFormat="false" ht="15" hidden="false" customHeight="false" outlineLevel="0" collapsed="false">
      <c r="A5" s="1" t="s">
        <v>108</v>
      </c>
      <c r="B5" s="14" t="n">
        <f aca="false">Dynamics!C44</f>
        <v>2.2</v>
      </c>
      <c r="C5" s="14" t="n">
        <f aca="false">Dynamics!D44</f>
        <v>0.681171148245131</v>
      </c>
      <c r="D5" s="14" t="n">
        <f aca="false">Dynamics!E44</f>
        <v>-2.20515423602464</v>
      </c>
      <c r="E5" s="14" t="n">
        <f aca="false">Dynamics!F44</f>
        <v>-6.30151636580671</v>
      </c>
      <c r="F5" s="14" t="n">
        <f aca="false">Dynamics!G44</f>
        <v>-11.5224050476111</v>
      </c>
      <c r="G5" s="14" t="n">
        <f aca="false">Dynamics!H44</f>
        <v>-10.8197910228736</v>
      </c>
      <c r="H5" s="14" t="n">
        <f aca="false">Dynamics!I44</f>
        <v>-11.6610897044372</v>
      </c>
      <c r="I5" s="14" t="n">
        <f aca="false">Dynamics!J44</f>
        <v>-13.9899137684892</v>
      </c>
      <c r="J5" s="14" t="n">
        <f aca="false">Dynamics!K44</f>
        <v>-16.7593402892138</v>
      </c>
      <c r="K5" s="14" t="n">
        <f aca="false">Dynamics!L44</f>
        <v>-19.9292948679983</v>
      </c>
      <c r="L5" s="14" t="n">
        <f aca="false">Dynamics!M44</f>
        <v>-25.5145275981325</v>
      </c>
    </row>
    <row r="6" customFormat="false" ht="15" hidden="false" customHeight="false" outlineLevel="0" collapsed="false">
      <c r="A6" s="1" t="s">
        <v>109</v>
      </c>
      <c r="B6" s="14" t="n">
        <f aca="false">Dynamics!C55</f>
        <v>105</v>
      </c>
      <c r="C6" s="14" t="n">
        <f aca="false">Dynamics!D55</f>
        <v>86.6064143430177</v>
      </c>
      <c r="D6" s="14" t="n">
        <f aca="false">Dynamics!E55</f>
        <v>69.5052983197965</v>
      </c>
      <c r="E6" s="14" t="n">
        <f aca="false">Dynamics!F55</f>
        <v>58.336104996386</v>
      </c>
      <c r="F6" s="14" t="n">
        <f aca="false">Dynamics!G55</f>
        <v>46.9535484848695</v>
      </c>
      <c r="G6" s="14" t="n">
        <f aca="false">Dynamics!H55</f>
        <v>36.3205498918695</v>
      </c>
      <c r="H6" s="14" t="n">
        <f aca="false">Dynamics!I55</f>
        <v>25.2235948915211</v>
      </c>
      <c r="I6" s="14" t="n">
        <f aca="false">Dynamics!J55</f>
        <v>13.7162729083467</v>
      </c>
      <c r="J6" s="14" t="n">
        <f aca="false">Dynamics!K55</f>
        <v>1.84154858758484</v>
      </c>
      <c r="K6" s="14" t="n">
        <f aca="false">Dynamics!L55</f>
        <v>-10.0738030970129</v>
      </c>
      <c r="L6" s="14" t="n">
        <f aca="false">Dynamics!M55</f>
        <v>-21.4435669091441</v>
      </c>
    </row>
    <row r="7" customFormat="false" ht="15" hidden="false" customHeight="false" outlineLevel="0" collapsed="false">
      <c r="A7" s="1" t="s">
        <v>110</v>
      </c>
      <c r="B7" s="14" t="n">
        <f aca="false">Dynamics!C66</f>
        <v>10</v>
      </c>
      <c r="C7" s="14" t="n">
        <f aca="false">Dynamics!D66</f>
        <v>8.37162883592667</v>
      </c>
      <c r="D7" s="14" t="n">
        <f aca="false">Dynamics!E66</f>
        <v>6.16019010277503</v>
      </c>
      <c r="E7" s="14" t="n">
        <f aca="false">Dynamics!F66</f>
        <v>2.6255799950778</v>
      </c>
      <c r="F7" s="14" t="n">
        <f aca="false">Dynamics!G66</f>
        <v>-1.09136397431627</v>
      </c>
      <c r="G7" s="14" t="n">
        <f aca="false">Dynamics!H66</f>
        <v>-1.70936187487623</v>
      </c>
      <c r="H7" s="14" t="n">
        <f aca="false">Dynamics!I66</f>
        <v>-2.67655421635588</v>
      </c>
      <c r="I7" s="14" t="n">
        <f aca="false">Dynamics!J66</f>
        <v>-3.93861234613767</v>
      </c>
      <c r="J7" s="14" t="n">
        <f aca="false">Dynamics!K66</f>
        <v>-5.45419893574047</v>
      </c>
      <c r="K7" s="14" t="n">
        <f aca="false">Dynamics!L66</f>
        <v>-7.19079986554109</v>
      </c>
      <c r="L7" s="14" t="n">
        <f aca="false">Dynamics!M66</f>
        <v>-9.75192727522094</v>
      </c>
    </row>
    <row r="8" customFormat="false" ht="15" hidden="false" customHeight="false" outlineLevel="0" collapsed="false">
      <c r="A8" s="1" t="s">
        <v>111</v>
      </c>
      <c r="B8" s="15" t="n">
        <f aca="false">SUM(B2:B7)</f>
        <v>176.699987</v>
      </c>
      <c r="C8" s="15" t="n">
        <f aca="false">SUM(C2:C7)</f>
        <v>142.140311161727</v>
      </c>
      <c r="D8" s="15" t="n">
        <f aca="false">SUM(D2:D7)</f>
        <v>103.106164580571</v>
      </c>
      <c r="E8" s="15" t="n">
        <f aca="false">SUM(E2:E7)</f>
        <v>72.6260347685046</v>
      </c>
      <c r="F8" s="15" t="n">
        <f aca="false">SUM(F2:F7)</f>
        <v>49.0500468644353</v>
      </c>
      <c r="G8" s="15" t="n">
        <f aca="false">SUM(G2:G7)</f>
        <v>32.9875749955422</v>
      </c>
      <c r="H8" s="15" t="n">
        <f aca="false">SUM(H2:H7)</f>
        <v>11.8749223013786</v>
      </c>
      <c r="I8" s="15" t="n">
        <f aca="false">SUM(I2:I7)</f>
        <v>-13.7598819413401</v>
      </c>
      <c r="J8" s="15" t="n">
        <f aca="false">SUM(J2:J7)</f>
        <v>-44.5478452505954</v>
      </c>
      <c r="K8" s="15" t="n">
        <f aca="false">SUM(K2:K7)</f>
        <v>-79.253124523164</v>
      </c>
      <c r="L8" s="15" t="n">
        <f aca="false">SUM(L2:L7)</f>
        <v>-118.721890508847</v>
      </c>
    </row>
    <row r="9" customFormat="false" ht="15" hidden="false" customHeight="false" outlineLevel="0" collapsed="false">
      <c r="A9" s="1" t="s">
        <v>112</v>
      </c>
      <c r="B9" s="15" t="n">
        <f aca="false">Dynamics!C9+Dynamics!C20+Dynamics!C31+Dynamics!C42+Dynamics!C53+Dynamics!C64</f>
        <v>1187.99993</v>
      </c>
      <c r="C9" s="15" t="n">
        <f aca="false">Dynamics!D9+Dynamics!D20+Dynamics!D31+Dynamics!D42+Dynamics!D53+Dynamics!D64</f>
        <v>1091.33943</v>
      </c>
      <c r="D9" s="15" t="n">
        <f aca="false">Dynamics!E9+Dynamics!E20+Dynamics!E31+Dynamics!E42+Dynamics!E53+Dynamics!E64</f>
        <v>1002.59523760455</v>
      </c>
      <c r="E9" s="15" t="n">
        <f aca="false">Dynamics!F9+Dynamics!F20+Dynamics!F31+Dynamics!F42+Dynamics!F53+Dynamics!F64</f>
        <v>932.777304973461</v>
      </c>
      <c r="F9" s="15" t="n">
        <f aca="false">Dynamics!G9+Dynamics!G20+Dynamics!G31+Dynamics!G42+Dynamics!G53+Dynamics!G64</f>
        <v>878.899539471707</v>
      </c>
      <c r="G9" s="15" t="n">
        <f aca="false">Dynamics!H9+Dynamics!H20+Dynamics!H31+Dynamics!H42+Dynamics!H53+Dynamics!H64</f>
        <v>840.620583670197</v>
      </c>
      <c r="H9" s="15" t="n">
        <f aca="false">Dynamics!I9+Dynamics!I20+Dynamics!I31+Dynamics!I42+Dynamics!I53+Dynamics!I64</f>
        <v>802.663941387177</v>
      </c>
      <c r="I9" s="15" t="n">
        <f aca="false">Dynamics!J9+Dynamics!J20+Dynamics!J31+Dynamics!J42+Dynamics!J53+Dynamics!J64</f>
        <v>765.001707353616</v>
      </c>
      <c r="J9" s="15" t="n">
        <f aca="false">Dynamics!K9+Dynamics!K20+Dynamics!K31+Dynamics!K42+Dynamics!K53+Dynamics!K64</f>
        <v>725.555822675249</v>
      </c>
      <c r="K9" s="15" t="n">
        <f aca="false">Dynamics!L9+Dynamics!L20+Dynamics!L31+Dynamics!L42+Dynamics!L53+Dynamics!L64</f>
        <v>685.193861929662</v>
      </c>
      <c r="L9" s="15" t="n">
        <f aca="false">Dynamics!M9+Dynamics!M20+Dynamics!M31+Dynamics!M42+Dynamics!M53+Dynamics!M64</f>
        <v>643.760374592104</v>
      </c>
    </row>
    <row r="10" customFormat="false" ht="15" hidden="false" customHeight="false" outlineLevel="0" collapsed="false">
      <c r="A10" s="1" t="s">
        <v>113</v>
      </c>
      <c r="B10" s="11" t="n">
        <f aca="false">Decisions!C11+Decisions!C12+Decisions!C13+Decisions!C14+Decisions!C15+Decisions!C16</f>
        <v>0</v>
      </c>
      <c r="C10" s="11" t="n">
        <f aca="false">Decisions!D11+Decisions!D12+Decisions!D13+Decisions!D14+Decisions!D15+Decisions!D16</f>
        <v>0</v>
      </c>
      <c r="D10" s="11" t="n">
        <f aca="false">Decisions!E11+Decisions!E12+Decisions!E13+Decisions!E14+Decisions!E15+Decisions!E16</f>
        <v>0</v>
      </c>
      <c r="E10" s="11" t="n">
        <f aca="false">Decisions!F11+Decisions!F12+Decisions!F13+Decisions!F14+Decisions!F15+Decisions!F16</f>
        <v>0</v>
      </c>
      <c r="F10" s="11" t="n">
        <f aca="false">Decisions!G11+Decisions!G12+Decisions!G13+Decisions!G14+Decisions!G15+Decisions!G16</f>
        <v>0</v>
      </c>
      <c r="G10" s="11" t="n">
        <f aca="false">Decisions!H11+Decisions!H12+Decisions!H13+Decisions!H14+Decisions!H15+Decisions!H16</f>
        <v>0</v>
      </c>
      <c r="H10" s="11" t="n">
        <f aca="false">Decisions!I11+Decisions!I12+Decisions!I13+Decisions!I14+Decisions!I15+Decisions!I16</f>
        <v>0</v>
      </c>
      <c r="I10" s="11" t="n">
        <f aca="false">Decisions!J11+Decisions!J12+Decisions!J13+Decisions!J14+Decisions!J15+Decisions!J16</f>
        <v>0</v>
      </c>
      <c r="J10" s="11" t="n">
        <f aca="false">Decisions!K11+Decisions!K12+Decisions!K13+Decisions!K14+Decisions!K15+Decisions!K16</f>
        <v>0</v>
      </c>
      <c r="K10" s="11" t="n">
        <f aca="false">Decisions!L11+Decisions!L12+Decisions!L13+Decisions!L14+Decisions!L15+Decisions!L16</f>
        <v>0</v>
      </c>
      <c r="L10" s="11" t="n">
        <f aca="false">Decisions!M11+Decisions!M12+Decisions!M13+Decisions!M14+Decisions!M15+Decisions!M16</f>
        <v>0</v>
      </c>
    </row>
    <row r="11" customFormat="false" ht="15" hidden="false" customHeight="false" outlineLevel="0" collapsed="false">
      <c r="A11" s="1" t="s">
        <v>45</v>
      </c>
      <c r="B11" s="16" t="n">
        <f aca="false">Inputs!B11</f>
        <v>60</v>
      </c>
      <c r="C11" s="16" t="n">
        <f aca="false">Inputs!C11</f>
        <v>65</v>
      </c>
      <c r="D11" s="16" t="n">
        <f aca="false">Inputs!D11</f>
        <v>70</v>
      </c>
      <c r="E11" s="16" t="n">
        <f aca="false">Inputs!E11</f>
        <v>78</v>
      </c>
      <c r="F11" s="16" t="n">
        <f aca="false">Inputs!F11</f>
        <v>88</v>
      </c>
      <c r="G11" s="16" t="n">
        <f aca="false">Inputs!G11</f>
        <v>100</v>
      </c>
      <c r="H11" s="16" t="n">
        <f aca="false">Inputs!H11</f>
        <v>115</v>
      </c>
      <c r="I11" s="16" t="n">
        <f aca="false">Inputs!I11</f>
        <v>130</v>
      </c>
      <c r="J11" s="16" t="n">
        <f aca="false">Inputs!J11</f>
        <v>150</v>
      </c>
      <c r="K11" s="16" t="n">
        <f aca="false">Inputs!K11</f>
        <v>170</v>
      </c>
      <c r="L11" s="16" t="n">
        <f aca="false">Inputs!L11</f>
        <v>195</v>
      </c>
    </row>
    <row r="12" customFormat="false" ht="15" hidden="false" customHeight="false" outlineLevel="0" collapsed="false">
      <c r="A12" s="1" t="s">
        <v>114</v>
      </c>
      <c r="B12" s="15" t="n">
        <f aca="false">B8*(1-Inputs!B3)+Inputs!B3*B11-B10</f>
        <v>145.19099051</v>
      </c>
      <c r="C12" s="15" t="n">
        <f aca="false">C8*(1-Inputs!B3)+Inputs!B3*C11-C10</f>
        <v>121.312427148061</v>
      </c>
      <c r="D12" s="15" t="n">
        <f aca="false">D8*(1-Inputs!B3)+Inputs!B3*D11-D10</f>
        <v>94.1675001438166</v>
      </c>
      <c r="E12" s="15" t="n">
        <f aca="false">E8*(1-Inputs!B3)+Inputs!B3*E11-E10</f>
        <v>74.0770053810083</v>
      </c>
      <c r="F12" s="15" t="n">
        <f aca="false">F8*(1-Inputs!B3)+Inputs!B3*F11-F10</f>
        <v>59.5665342110378</v>
      </c>
      <c r="G12" s="15" t="n">
        <f aca="false">G8*(1-Inputs!B3)+Inputs!B3*G11-G10</f>
        <v>51.0809297467458</v>
      </c>
      <c r="H12" s="15" t="n">
        <f aca="false">H8*(1-Inputs!B3)+Inputs!B3*H11-H10</f>
        <v>39.7186932800064</v>
      </c>
      <c r="I12" s="15" t="n">
        <f aca="false">I8*(1-Inputs!B3)+Inputs!B3*I11-I10</f>
        <v>25.0552861828217</v>
      </c>
      <c r="J12" s="15" t="n">
        <f aca="false">J8*(1-Inputs!B3)+Inputs!B3*J11-J10</f>
        <v>7.98007296706539</v>
      </c>
      <c r="K12" s="15" t="n">
        <f aca="false">K8*(1-Inputs!B3)+Inputs!B3*K11-K10</f>
        <v>-11.9547809019097</v>
      </c>
      <c r="L12" s="15" t="n">
        <f aca="false">L8*(1-Inputs!B3)+Inputs!B3*L11-L10</f>
        <v>-34.0169800714586</v>
      </c>
    </row>
    <row r="14" customFormat="false" ht="15" hidden="false" customHeight="false" outlineLevel="0" collapsed="false">
      <c r="A14" s="1" t="s">
        <v>115</v>
      </c>
      <c r="B14" s="17" t="n">
        <f aca="false">Inputs!B6+Inputs!B7</f>
        <v>1500</v>
      </c>
    </row>
    <row r="15" customFormat="false" ht="15" hidden="false" customHeight="false" outlineLevel="0" collapsed="false">
      <c r="A15" s="1" t="s">
        <v>116</v>
      </c>
      <c r="B15" s="18" t="n">
        <f aca="false">(Inputs!B6/B14)*Inputs!B5+(Inputs!B7/B14)*Inputs!B4*(1-Inputs!B3)</f>
        <v>0.0949</v>
      </c>
    </row>
    <row r="17" customFormat="false" ht="15" hidden="false" customHeight="false" outlineLevel="0" collapsed="false">
      <c r="A17" s="1" t="s">
        <v>117</v>
      </c>
      <c r="B17" s="13" t="n">
        <v>1</v>
      </c>
      <c r="C17" s="13" t="n">
        <f aca="false">1/(1+$B$15)^1</f>
        <v>0.913325417846379</v>
      </c>
      <c r="D17" s="13" t="n">
        <f aca="false">1/(1+$B$15)^2</f>
        <v>0.834163318884262</v>
      </c>
      <c r="E17" s="13" t="n">
        <f aca="false">1/(1+$B$15)^3</f>
        <v>0.761862561772091</v>
      </c>
      <c r="F17" s="13" t="n">
        <f aca="false">1/(1+$B$15)^4</f>
        <v>0.695828442572007</v>
      </c>
      <c r="G17" s="13" t="n">
        <f aca="false">1/(1+$B$15)^5</f>
        <v>0.635517803061474</v>
      </c>
      <c r="H17" s="13" t="n">
        <f aca="false">1/(1+$B$15)^6</f>
        <v>0.580434563029933</v>
      </c>
      <c r="I17" s="13" t="n">
        <f aca="false">1/(1+$B$15)^7</f>
        <v>0.530125639811794</v>
      </c>
      <c r="J17" s="13" t="n">
        <f aca="false">1/(1+$B$15)^8</f>
        <v>0.484177221492185</v>
      </c>
      <c r="K17" s="13" t="n">
        <f aca="false">1/(1+$B$15)^9</f>
        <v>0.442211363131049</v>
      </c>
      <c r="L17" s="13" t="n">
        <f aca="false">1/(1+$B$15)^10</f>
        <v>0.403882878008082</v>
      </c>
    </row>
    <row r="18" customFormat="false" ht="15" hidden="false" customHeight="false" outlineLevel="0" collapsed="false">
      <c r="A18" s="1" t="s">
        <v>118</v>
      </c>
      <c r="B18" s="11" t="n">
        <f aca="false">B12*B17</f>
        <v>145.19099051</v>
      </c>
      <c r="C18" s="11" t="n">
        <f aca="false">C12*C17</f>
        <v>110.797723214961</v>
      </c>
      <c r="D18" s="11" t="n">
        <f aca="false">D12*D17</f>
        <v>78.5510744510003</v>
      </c>
      <c r="E18" s="11" t="n">
        <f aca="false">E12*E17</f>
        <v>56.43649708798</v>
      </c>
      <c r="F18" s="11" t="n">
        <f aca="false">F12*F17</f>
        <v>41.4480887294786</v>
      </c>
      <c r="G18" s="11" t="n">
        <f aca="false">G12*G17</f>
        <v>32.4628402509893</v>
      </c>
      <c r="H18" s="11" t="n">
        <f aca="false">H12*H17</f>
        <v>23.0541023781004</v>
      </c>
      <c r="I18" s="11" t="n">
        <f aca="false">I12*I17</f>
        <v>13.282449618336</v>
      </c>
      <c r="J18" s="11" t="n">
        <f aca="false">J12*J17</f>
        <v>3.86376955649862</v>
      </c>
      <c r="K18" s="11" t="n">
        <f aca="false">K12*K17</f>
        <v>-5.28653995856651</v>
      </c>
      <c r="L18" s="11" t="n">
        <f aca="false">L12*L17</f>
        <v>-13.7388758124042</v>
      </c>
    </row>
    <row r="20" customFormat="false" ht="15" hidden="false" customHeight="false" outlineLevel="0" collapsed="false">
      <c r="A20" s="1" t="s">
        <v>119</v>
      </c>
      <c r="B20" s="19" t="n">
        <f aca="false">Inputs!B9</f>
        <v>0.025</v>
      </c>
    </row>
    <row r="21" customFormat="false" ht="15" hidden="false" customHeight="false" outlineLevel="0" collapsed="false">
      <c r="A21" s="1" t="s">
        <v>120</v>
      </c>
      <c r="B21" s="11" t="n">
        <f aca="false">L12*(1+Inputs!B9)</f>
        <v>-34.867404573245</v>
      </c>
    </row>
    <row r="22" customFormat="false" ht="15" hidden="false" customHeight="false" outlineLevel="0" collapsed="false">
      <c r="A22" s="1" t="s">
        <v>121</v>
      </c>
      <c r="B22" s="15" t="n">
        <f aca="false">B21/($B$15-Inputs!B9)</f>
        <v>-498.818377299643</v>
      </c>
    </row>
    <row r="23" customFormat="false" ht="15" hidden="false" customHeight="false" outlineLevel="0" collapsed="false">
      <c r="A23" s="1" t="s">
        <v>122</v>
      </c>
      <c r="B23" s="11" t="n">
        <f aca="false">B22*L17</f>
        <v>-201.464201827101</v>
      </c>
    </row>
    <row r="25" customFormat="false" ht="15" hidden="false" customHeight="false" outlineLevel="0" collapsed="false">
      <c r="A25" s="1" t="s">
        <v>123</v>
      </c>
      <c r="B25" s="20" t="n">
        <f aca="false">SUM(C18:L18)</f>
        <v>340.871129516373</v>
      </c>
    </row>
    <row r="26" customFormat="false" ht="15" hidden="false" customHeight="false" outlineLevel="0" collapsed="false">
      <c r="A26" s="1" t="s">
        <v>124</v>
      </c>
      <c r="B26" s="20" t="n">
        <f aca="false">B25+B23</f>
        <v>139.406927689273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" t="s">
        <v>84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customFormat="false" ht="15" hidden="false" customHeight="false" outlineLevel="0" collapsed="false">
      <c r="A2" s="1" t="s">
        <v>46</v>
      </c>
      <c r="B2" s="14" t="n">
        <f aca="false">Inputs!B12</f>
        <v>1200</v>
      </c>
      <c r="C2" s="14" t="n">
        <f aca="false">Inputs!C12</f>
        <v>1500</v>
      </c>
      <c r="D2" s="14" t="n">
        <f aca="false">Inputs!D12</f>
        <v>1900</v>
      </c>
      <c r="E2" s="14" t="n">
        <f aca="false">Inputs!E12</f>
        <v>2400</v>
      </c>
      <c r="F2" s="14" t="n">
        <f aca="false">Inputs!F12</f>
        <v>3000</v>
      </c>
      <c r="G2" s="14" t="n">
        <f aca="false">Inputs!G12</f>
        <v>3500</v>
      </c>
      <c r="H2" s="14" t="n">
        <f aca="false">Inputs!H12</f>
        <v>4000</v>
      </c>
      <c r="I2" s="14" t="n">
        <f aca="false">Inputs!I12</f>
        <v>4400</v>
      </c>
      <c r="J2" s="14" t="n">
        <f aca="false">Inputs!J12</f>
        <v>4700</v>
      </c>
      <c r="K2" s="14" t="n">
        <f aca="false">Inputs!K12</f>
        <v>4900</v>
      </c>
      <c r="L2" s="14" t="n">
        <f aca="false">Inputs!L12</f>
        <v>5000</v>
      </c>
    </row>
    <row r="3" customFormat="false" ht="15" hidden="false" customHeight="false" outlineLevel="0" collapsed="false">
      <c r="A3" s="1" t="s">
        <v>125</v>
      </c>
      <c r="B3" s="14" t="n">
        <f aca="false">Decisions!C3+Decisions!C4+Decisions!C5+Decisions!C6+Decisions!C7+Decisions!C8</f>
        <v>1149.6209</v>
      </c>
      <c r="C3" s="14" t="n">
        <f aca="false">Decisions!D3+Decisions!D4+Decisions!D5+Decisions!D6+Decisions!D7+Decisions!D8</f>
        <v>1149.6209</v>
      </c>
      <c r="D3" s="14" t="n">
        <f aca="false">Decisions!E3+Decisions!E4+Decisions!E5+Decisions!E6+Decisions!E7+Decisions!E8</f>
        <v>1149.6209</v>
      </c>
      <c r="E3" s="14" t="n">
        <f aca="false">Decisions!F3+Decisions!F4+Decisions!F5+Decisions!F6+Decisions!F7+Decisions!F8</f>
        <v>1149.6209</v>
      </c>
      <c r="F3" s="14" t="n">
        <f aca="false">Decisions!G3+Decisions!G4+Decisions!G5+Decisions!G6+Decisions!G7+Decisions!G8</f>
        <v>1149.6209</v>
      </c>
      <c r="G3" s="14" t="n">
        <f aca="false">Decisions!H3+Decisions!H4+Decisions!H5+Decisions!H6+Decisions!H7+Decisions!H8</f>
        <v>1149.6209</v>
      </c>
      <c r="H3" s="14" t="n">
        <f aca="false">Decisions!I3+Decisions!I4+Decisions!I5+Decisions!I6+Decisions!I7+Decisions!I8</f>
        <v>1149.6209</v>
      </c>
      <c r="I3" s="14" t="n">
        <f aca="false">Decisions!J3+Decisions!J4+Decisions!J5+Decisions!J6+Decisions!J7+Decisions!J8</f>
        <v>1149.6209</v>
      </c>
      <c r="J3" s="14" t="n">
        <f aca="false">Decisions!K3+Decisions!K4+Decisions!K5+Decisions!K6+Decisions!K7+Decisions!K8</f>
        <v>1149.6209</v>
      </c>
      <c r="K3" s="14" t="n">
        <f aca="false">Decisions!L3+Decisions!L4+Decisions!L5+Decisions!L6+Decisions!L7+Decisions!L8</f>
        <v>1149.6209</v>
      </c>
      <c r="L3" s="14" t="n">
        <f aca="false">Decisions!M3+Decisions!M4+Decisions!M5+Decisions!M6+Decisions!M7+Decisions!M8</f>
        <v>1149.6209</v>
      </c>
    </row>
    <row r="4" customFormat="false" ht="15" hidden="false" customHeight="false" outlineLevel="0" collapsed="false">
      <c r="A4" s="1" t="s">
        <v>112</v>
      </c>
      <c r="B4" s="14" t="n">
        <f aca="false">Financials!B9</f>
        <v>1187.99993</v>
      </c>
      <c r="C4" s="14" t="n">
        <f aca="false">Financials!C9</f>
        <v>1091.33943</v>
      </c>
      <c r="D4" s="14" t="n">
        <f aca="false">Financials!D9</f>
        <v>1002.59523760455</v>
      </c>
      <c r="E4" s="14" t="n">
        <f aca="false">Financials!E9</f>
        <v>932.777304973461</v>
      </c>
      <c r="F4" s="14" t="n">
        <f aca="false">Financials!F9</f>
        <v>878.899539471707</v>
      </c>
      <c r="G4" s="14" t="n">
        <f aca="false">Financials!G9</f>
        <v>840.620583670197</v>
      </c>
      <c r="H4" s="14" t="n">
        <f aca="false">Financials!H9</f>
        <v>802.663941387177</v>
      </c>
      <c r="I4" s="14" t="n">
        <f aca="false">Financials!I9</f>
        <v>765.001707353616</v>
      </c>
      <c r="J4" s="14" t="n">
        <f aca="false">Financials!J9</f>
        <v>725.555822675249</v>
      </c>
      <c r="K4" s="14" t="n">
        <f aca="false">Financials!K9</f>
        <v>685.193861929662</v>
      </c>
      <c r="L4" s="14" t="n">
        <f aca="false">Financials!L9</f>
        <v>643.760374592104</v>
      </c>
    </row>
    <row r="5" customFormat="false" ht="15" hidden="false" customHeight="false" outlineLevel="0" collapsed="false">
      <c r="A5" s="1" t="s">
        <v>111</v>
      </c>
      <c r="B5" s="14" t="n">
        <f aca="false">Financials!B8</f>
        <v>176.699987</v>
      </c>
      <c r="C5" s="14" t="n">
        <f aca="false">Financials!C8</f>
        <v>142.140311161727</v>
      </c>
      <c r="D5" s="14" t="n">
        <f aca="false">Financials!D8</f>
        <v>103.106164580571</v>
      </c>
      <c r="E5" s="14" t="n">
        <f aca="false">Financials!E8</f>
        <v>72.6260347685046</v>
      </c>
      <c r="F5" s="14" t="n">
        <f aca="false">Financials!F8</f>
        <v>49.0500468644353</v>
      </c>
      <c r="G5" s="14" t="n">
        <f aca="false">Financials!G8</f>
        <v>32.9875749955422</v>
      </c>
      <c r="H5" s="14" t="n">
        <f aca="false">Financials!H8</f>
        <v>11.8749223013786</v>
      </c>
      <c r="I5" s="14" t="n">
        <f aca="false">Financials!I8</f>
        <v>-13.7598819413401</v>
      </c>
      <c r="J5" s="14" t="n">
        <f aca="false">Financials!J8</f>
        <v>-44.5478452505954</v>
      </c>
      <c r="K5" s="14" t="n">
        <f aca="false">Financials!K8</f>
        <v>-79.253124523164</v>
      </c>
      <c r="L5" s="14" t="n">
        <f aca="false">Financials!L8</f>
        <v>-118.721890508847</v>
      </c>
    </row>
    <row r="6" customFormat="false" ht="15" hidden="false" customHeight="false" outlineLevel="0" collapsed="false">
      <c r="A6" s="1" t="s">
        <v>45</v>
      </c>
      <c r="B6" s="14" t="n">
        <f aca="false">Financials!B11</f>
        <v>60</v>
      </c>
      <c r="C6" s="14" t="n">
        <f aca="false">Financials!C11</f>
        <v>65</v>
      </c>
      <c r="D6" s="14" t="n">
        <f aca="false">Financials!D11</f>
        <v>70</v>
      </c>
      <c r="E6" s="14" t="n">
        <f aca="false">Financials!E11</f>
        <v>78</v>
      </c>
      <c r="F6" s="14" t="n">
        <f aca="false">Financials!F11</f>
        <v>88</v>
      </c>
      <c r="G6" s="14" t="n">
        <f aca="false">Financials!G11</f>
        <v>100</v>
      </c>
      <c r="H6" s="14" t="n">
        <f aca="false">Financials!H11</f>
        <v>115</v>
      </c>
      <c r="I6" s="14" t="n">
        <f aca="false">Financials!I11</f>
        <v>130</v>
      </c>
      <c r="J6" s="14" t="n">
        <f aca="false">Financials!J11</f>
        <v>150</v>
      </c>
      <c r="K6" s="14" t="n">
        <f aca="false">Financials!K11</f>
        <v>170</v>
      </c>
      <c r="L6" s="14" t="n">
        <f aca="false">Financials!L11</f>
        <v>195</v>
      </c>
    </row>
    <row r="7" customFormat="false" ht="15" hidden="false" customHeight="false" outlineLevel="0" collapsed="false">
      <c r="A7" s="1" t="s">
        <v>113</v>
      </c>
      <c r="B7" s="14" t="n">
        <f aca="false">Financials!B10</f>
        <v>0</v>
      </c>
      <c r="C7" s="14" t="n">
        <f aca="false">Financials!C10</f>
        <v>0</v>
      </c>
      <c r="D7" s="14" t="n">
        <f aca="false">Financials!D10</f>
        <v>0</v>
      </c>
      <c r="E7" s="14" t="n">
        <f aca="false">Financials!E10</f>
        <v>0</v>
      </c>
      <c r="F7" s="14" t="n">
        <f aca="false">Financials!F10</f>
        <v>0</v>
      </c>
      <c r="G7" s="14" t="n">
        <f aca="false">Financials!G10</f>
        <v>0</v>
      </c>
      <c r="H7" s="14" t="n">
        <f aca="false">Financials!H10</f>
        <v>0</v>
      </c>
      <c r="I7" s="14" t="n">
        <f aca="false">Financials!I10</f>
        <v>0</v>
      </c>
      <c r="J7" s="14" t="n">
        <f aca="false">Financials!J10</f>
        <v>0</v>
      </c>
      <c r="K7" s="14" t="n">
        <f aca="false">Financials!K10</f>
        <v>0</v>
      </c>
      <c r="L7" s="14" t="n">
        <f aca="false">Financials!L10</f>
        <v>0</v>
      </c>
    </row>
    <row r="8" customFormat="false" ht="15" hidden="false" customHeight="false" outlineLevel="0" collapsed="false">
      <c r="A8" s="1" t="s">
        <v>114</v>
      </c>
      <c r="B8" s="14" t="n">
        <f aca="false">Financials!B12</f>
        <v>145.19099051</v>
      </c>
      <c r="C8" s="14" t="n">
        <f aca="false">Financials!C12</f>
        <v>121.312427148061</v>
      </c>
      <c r="D8" s="14" t="n">
        <f aca="false">Financials!D12</f>
        <v>94.1675001438166</v>
      </c>
      <c r="E8" s="14" t="n">
        <f aca="false">Financials!E12</f>
        <v>74.0770053810083</v>
      </c>
      <c r="F8" s="14" t="n">
        <f aca="false">Financials!F12</f>
        <v>59.5665342110378</v>
      </c>
      <c r="G8" s="14" t="n">
        <f aca="false">Financials!G12</f>
        <v>51.0809297467458</v>
      </c>
      <c r="H8" s="14" t="n">
        <f aca="false">Financials!H12</f>
        <v>39.7186932800064</v>
      </c>
      <c r="I8" s="14" t="n">
        <f aca="false">Financials!I12</f>
        <v>25.0552861828217</v>
      </c>
      <c r="J8" s="14" t="n">
        <f aca="false">Financials!J12</f>
        <v>7.98007296706539</v>
      </c>
      <c r="K8" s="14" t="n">
        <f aca="false">Financials!K12</f>
        <v>-11.9547809019097</v>
      </c>
      <c r="L8" s="14" t="n">
        <f aca="false">Financials!L12</f>
        <v>-34.0169800714586</v>
      </c>
    </row>
    <row r="9" customFormat="false" ht="15" hidden="false" customHeight="false" outlineLevel="0" collapsed="false">
      <c r="A9" s="1" t="s">
        <v>117</v>
      </c>
      <c r="B9" s="14" t="n">
        <f aca="false">Financials!B17</f>
        <v>1</v>
      </c>
      <c r="C9" s="14" t="n">
        <f aca="false">Financials!C17</f>
        <v>0.913325417846379</v>
      </c>
      <c r="D9" s="14" t="n">
        <f aca="false">Financials!D17</f>
        <v>0.834163318884262</v>
      </c>
      <c r="E9" s="14" t="n">
        <f aca="false">Financials!E17</f>
        <v>0.761862561772091</v>
      </c>
      <c r="F9" s="14" t="n">
        <f aca="false">Financials!F17</f>
        <v>0.695828442572007</v>
      </c>
      <c r="G9" s="14" t="n">
        <f aca="false">Financials!G17</f>
        <v>0.635517803061474</v>
      </c>
      <c r="H9" s="14" t="n">
        <f aca="false">Financials!H17</f>
        <v>0.580434563029933</v>
      </c>
      <c r="I9" s="14" t="n">
        <f aca="false">Financials!I17</f>
        <v>0.530125639811794</v>
      </c>
      <c r="J9" s="14" t="n">
        <f aca="false">Financials!J17</f>
        <v>0.484177221492185</v>
      </c>
      <c r="K9" s="14" t="n">
        <f aca="false">Financials!K17</f>
        <v>0.442211363131049</v>
      </c>
      <c r="L9" s="14" t="n">
        <f aca="false">Financials!L17</f>
        <v>0.403882878008082</v>
      </c>
    </row>
    <row r="10" customFormat="false" ht="15" hidden="false" customHeight="false" outlineLevel="0" collapsed="false">
      <c r="A10" s="1" t="s">
        <v>118</v>
      </c>
      <c r="B10" s="14" t="n">
        <f aca="false">Financials!B18</f>
        <v>145.19099051</v>
      </c>
      <c r="C10" s="14" t="n">
        <f aca="false">Financials!C18</f>
        <v>110.797723214961</v>
      </c>
      <c r="D10" s="14" t="n">
        <f aca="false">Financials!D18</f>
        <v>78.5510744510003</v>
      </c>
      <c r="E10" s="14" t="n">
        <f aca="false">Financials!E18</f>
        <v>56.43649708798</v>
      </c>
      <c r="F10" s="14" t="n">
        <f aca="false">Financials!F18</f>
        <v>41.4480887294786</v>
      </c>
      <c r="G10" s="14" t="n">
        <f aca="false">Financials!G18</f>
        <v>32.4628402509893</v>
      </c>
      <c r="H10" s="14" t="n">
        <f aca="false">Financials!H18</f>
        <v>23.0541023781004</v>
      </c>
      <c r="I10" s="14" t="n">
        <f aca="false">Financials!I18</f>
        <v>13.282449618336</v>
      </c>
      <c r="J10" s="14" t="n">
        <f aca="false">Financials!J18</f>
        <v>3.86376955649862</v>
      </c>
      <c r="K10" s="14" t="n">
        <f aca="false">Financials!K18</f>
        <v>-5.28653995856651</v>
      </c>
      <c r="L10" s="14" t="n">
        <f aca="false">Financials!L18</f>
        <v>-13.7388758124042</v>
      </c>
    </row>
    <row r="12" customFormat="false" ht="15" hidden="false" customHeight="false" outlineLevel="0" collapsed="false">
      <c r="A12" s="4" t="s">
        <v>126</v>
      </c>
    </row>
    <row r="13" customFormat="false" ht="15" hidden="false" customHeight="false" outlineLevel="0" collapsed="false">
      <c r="A13" s="1" t="s">
        <v>127</v>
      </c>
      <c r="B13" s="14" t="n">
        <f aca="false">Dynamics!C9</f>
        <v>469.99998</v>
      </c>
      <c r="C13" s="14" t="n">
        <f aca="false">Dynamics!D9</f>
        <v>434.1249</v>
      </c>
      <c r="D13" s="14" t="n">
        <f aca="false">Dynamics!E9</f>
        <v>400.988146383</v>
      </c>
      <c r="E13" s="14" t="n">
        <f aca="false">Dynamics!F9</f>
        <v>370.380721169586</v>
      </c>
      <c r="F13" s="14" t="n">
        <f aca="false">Dynamics!G9</f>
        <v>349.573560722711</v>
      </c>
      <c r="G13" s="14" t="n">
        <f aca="false">Dynamics!H9</f>
        <v>330.354610832747</v>
      </c>
      <c r="H13" s="14" t="n">
        <f aca="false">Dynamics!I9</f>
        <v>312.602643387883</v>
      </c>
      <c r="I13" s="14" t="n">
        <f aca="false">Dynamics!J9</f>
        <v>296.205683618086</v>
      </c>
      <c r="J13" s="14" t="n">
        <f aca="false">Dynamics!K9</f>
        <v>279.567503787518</v>
      </c>
      <c r="K13" s="14" t="n">
        <f aca="false">Dynamics!L9</f>
        <v>262.706516223416</v>
      </c>
      <c r="L13" s="14" t="n">
        <f aca="false">Dynamics!M9</f>
        <v>245.639727840083</v>
      </c>
    </row>
    <row r="14" customFormat="false" ht="15" hidden="false" customHeight="false" outlineLevel="0" collapsed="false">
      <c r="A14" s="1" t="s">
        <v>128</v>
      </c>
      <c r="B14" s="14" t="n">
        <f aca="false">Dynamics!C20</f>
        <v>180</v>
      </c>
      <c r="C14" s="14" t="n">
        <f aca="false">Dynamics!D20</f>
        <v>165.4209</v>
      </c>
      <c r="D14" s="14" t="n">
        <f aca="false">Dynamics!E20</f>
        <v>152.0226342045</v>
      </c>
      <c r="E14" s="14" t="n">
        <f aca="false">Dynamics!F20</f>
        <v>146.707060947107</v>
      </c>
      <c r="F14" s="14" t="n">
        <f aca="false">Dynamics!G20</f>
        <v>141.822022545696</v>
      </c>
      <c r="G14" s="14" t="n">
        <f aca="false">Dynamics!H20</f>
        <v>137.332647829607</v>
      </c>
      <c r="H14" s="14" t="n">
        <f aca="false">Dynamics!I20</f>
        <v>131.457515018648</v>
      </c>
      <c r="I14" s="14" t="n">
        <f aca="false">Dynamics!J20</f>
        <v>124.308863589713</v>
      </c>
      <c r="J14" s="14" t="n">
        <f aca="false">Dynamics!K20</f>
        <v>115.989842183264</v>
      </c>
      <c r="K14" s="14" t="n">
        <f aca="false">Dynamics!L20</f>
        <v>107.03258866563</v>
      </c>
      <c r="L14" s="14" t="n">
        <f aca="false">Dynamics!M20</f>
        <v>98.3634841466577</v>
      </c>
    </row>
    <row r="15" customFormat="false" ht="15" hidden="false" customHeight="false" outlineLevel="0" collapsed="false">
      <c r="A15" s="1" t="s">
        <v>129</v>
      </c>
      <c r="B15" s="14" t="n">
        <f aca="false">Dynamics!C31</f>
        <v>79.99995</v>
      </c>
      <c r="C15" s="14" t="n">
        <f aca="false">Dynamics!D31</f>
        <v>73.1472</v>
      </c>
      <c r="D15" s="14" t="n">
        <f aca="false">Dynamics!E31</f>
        <v>66.881410848</v>
      </c>
      <c r="E15" s="14" t="n">
        <f aca="false">Dynamics!F31</f>
        <v>61.1523491947603</v>
      </c>
      <c r="F15" s="14" t="n">
        <f aca="false">Dynamics!G31</f>
        <v>58.7130389627372</v>
      </c>
      <c r="G15" s="14" t="n">
        <f aca="false">Dynamics!H31</f>
        <v>56.4826800451891</v>
      </c>
      <c r="H15" s="14" t="n">
        <f aca="false">Dynamics!I31</f>
        <v>54.4433736725182</v>
      </c>
      <c r="I15" s="14" t="n">
        <f aca="false">Dynamics!J31</f>
        <v>52.5787542837303</v>
      </c>
      <c r="J15" s="14" t="n">
        <f aca="false">Dynamics!K31</f>
        <v>50.314058191786</v>
      </c>
      <c r="K15" s="14" t="n">
        <f aca="false">Dynamics!L31</f>
        <v>47.6835559670776</v>
      </c>
      <c r="L15" s="14" t="n">
        <f aca="false">Dynamics!M31</f>
        <v>44.7185825629377</v>
      </c>
    </row>
    <row r="16" customFormat="false" ht="15" hidden="false" customHeight="false" outlineLevel="0" collapsed="false">
      <c r="A16" s="1" t="s">
        <v>130</v>
      </c>
      <c r="B16" s="14" t="n">
        <f aca="false">Dynamics!C42</f>
        <v>36</v>
      </c>
      <c r="C16" s="14" t="n">
        <f aca="false">Dynamics!D42</f>
        <v>33.42006</v>
      </c>
      <c r="D16" s="14" t="n">
        <f aca="false">Dynamics!E42</f>
        <v>31.0250114001</v>
      </c>
      <c r="E16" s="14" t="n">
        <f aca="false">Dynamics!F42</f>
        <v>28.8016039581118</v>
      </c>
      <c r="F16" s="14" t="n">
        <f aca="false">Dynamics!G42</f>
        <v>26.7375370104538</v>
      </c>
      <c r="G16" s="14" t="n">
        <f aca="false">Dynamics!H42</f>
        <v>31.8188914205996</v>
      </c>
      <c r="H16" s="14" t="n">
        <f aca="false">Dynamics!I42</f>
        <v>36.5360905669423</v>
      </c>
      <c r="I16" s="14" t="n">
        <f aca="false">Dynamics!J42</f>
        <v>40.9152316364624</v>
      </c>
      <c r="J16" s="14" t="n">
        <f aca="false">Dynamics!K42</f>
        <v>44.9805415612353</v>
      </c>
      <c r="K16" s="14" t="n">
        <f aca="false">Dynamics!L42</f>
        <v>48.7545110502494</v>
      </c>
      <c r="L16" s="14" t="n">
        <f aca="false">Dynamics!M42</f>
        <v>51.2083940158333</v>
      </c>
    </row>
    <row r="17" customFormat="false" ht="15" hidden="false" customHeight="false" outlineLevel="0" collapsed="false">
      <c r="A17" s="1" t="s">
        <v>131</v>
      </c>
      <c r="B17" s="14" t="n">
        <f aca="false">Dynamics!C53</f>
        <v>350</v>
      </c>
      <c r="C17" s="14" t="n">
        <f aca="false">Dynamics!D53</f>
        <v>318.38625</v>
      </c>
      <c r="D17" s="14" t="n">
        <f aca="false">Dynamics!E53</f>
        <v>289.62801196875</v>
      </c>
      <c r="E17" s="14" t="n">
        <f aca="false">Dynamics!F53</f>
        <v>268.132361787673</v>
      </c>
      <c r="F17" s="14" t="n">
        <f aca="false">Dynamics!G53</f>
        <v>248.578306209201</v>
      </c>
      <c r="G17" s="14" t="n">
        <f aca="false">Dynamics!H53</f>
        <v>230.790470700855</v>
      </c>
      <c r="H17" s="14" t="n">
        <f aca="false">Dynamics!I53</f>
        <v>213.4430714348</v>
      </c>
      <c r="I17" s="14" t="n">
        <f aca="false">Dynamics!J53</f>
        <v>196.496326007452</v>
      </c>
      <c r="J17" s="14" t="n">
        <f aca="false">Dynamics!K53</f>
        <v>179.914045360829</v>
      </c>
      <c r="K17" s="14" t="n">
        <f aca="false">Dynamics!L53</f>
        <v>163.954871713612</v>
      </c>
      <c r="L17" s="14" t="n">
        <f aca="false">Dynamics!M53</f>
        <v>149.14564792608</v>
      </c>
    </row>
    <row r="18" customFormat="false" ht="15" hidden="false" customHeight="false" outlineLevel="0" collapsed="false">
      <c r="A18" s="1" t="s">
        <v>132</v>
      </c>
      <c r="B18" s="14" t="n">
        <f aca="false">Dynamics!C64</f>
        <v>72</v>
      </c>
      <c r="C18" s="14" t="n">
        <f aca="false">Dynamics!D64</f>
        <v>66.84012</v>
      </c>
      <c r="D18" s="14" t="n">
        <f aca="false">Dynamics!E64</f>
        <v>62.0500228002</v>
      </c>
      <c r="E18" s="14" t="n">
        <f aca="false">Dynamics!F64</f>
        <v>57.6032079162237</v>
      </c>
      <c r="F18" s="14" t="n">
        <f aca="false">Dynamics!G64</f>
        <v>53.4750740209075</v>
      </c>
      <c r="G18" s="14" t="n">
        <f aca="false">Dynamics!H64</f>
        <v>53.8412828411992</v>
      </c>
      <c r="H18" s="14" t="n">
        <f aca="false">Dynamics!I64</f>
        <v>54.1812473063847</v>
      </c>
      <c r="I18" s="14" t="n">
        <f aca="false">Dynamics!J64</f>
        <v>54.4968482181726</v>
      </c>
      <c r="J18" s="14" t="n">
        <f aca="false">Dynamics!K64</f>
        <v>54.7898315906173</v>
      </c>
      <c r="K18" s="14" t="n">
        <f aca="false">Dynamics!L64</f>
        <v>55.0618183096757</v>
      </c>
      <c r="L18" s="14" t="n">
        <f aca="false">Dynamics!M64</f>
        <v>54.6845381005128</v>
      </c>
    </row>
    <row r="20" customFormat="false" ht="15" hidden="false" customHeight="false" outlineLevel="0" collapsed="false">
      <c r="A20" s="4" t="s">
        <v>133</v>
      </c>
    </row>
    <row r="21" customFormat="false" ht="15" hidden="false" customHeight="false" outlineLevel="0" collapsed="false">
      <c r="A21" s="1" t="s">
        <v>134</v>
      </c>
      <c r="B21" s="14" t="n">
        <f aca="false">Dynamics!C11</f>
        <v>25.499997</v>
      </c>
      <c r="C21" s="14" t="n">
        <f aca="false">Dynamics!D11</f>
        <v>21.4404926602912</v>
      </c>
      <c r="D21" s="14" t="n">
        <f aca="false">Dynamics!E11</f>
        <v>14.7572639528057</v>
      </c>
      <c r="E21" s="14" t="n">
        <f aca="false">Dynamics!F11</f>
        <v>7.16534974836105</v>
      </c>
      <c r="F21" s="14" t="n">
        <f aca="false">Dynamics!G11</f>
        <v>6.56096279672653</v>
      </c>
      <c r="G21" s="14" t="n">
        <f aca="false">Dynamics!H11</f>
        <v>4.18144042177278</v>
      </c>
      <c r="H21" s="14" t="n">
        <f aca="false">Dynamics!I11</f>
        <v>1.24373812106344</v>
      </c>
      <c r="I21" s="14" t="n">
        <f aca="false">Dynamics!J11</f>
        <v>-2.10031359604355</v>
      </c>
      <c r="J21" s="14" t="n">
        <f aca="false">Dynamics!K11</f>
        <v>-7.23519761185617</v>
      </c>
      <c r="K21" s="14" t="n">
        <f aca="false">Dynamics!L11</f>
        <v>-13.9685915852139</v>
      </c>
      <c r="L21" s="14" t="n">
        <f aca="false">Dynamics!M11</f>
        <v>-22.1379562086228</v>
      </c>
    </row>
    <row r="22" customFormat="false" ht="15" hidden="false" customHeight="false" outlineLevel="0" collapsed="false">
      <c r="A22" s="1" t="s">
        <v>135</v>
      </c>
      <c r="B22" s="14" t="n">
        <f aca="false">Dynamics!C22</f>
        <v>28</v>
      </c>
      <c r="C22" s="14" t="n">
        <f aca="false">Dynamics!D22</f>
        <v>22.3131783200426</v>
      </c>
      <c r="D22" s="14" t="n">
        <f aca="false">Dynamics!E22</f>
        <v>15.5756108233955</v>
      </c>
      <c r="E22" s="14" t="n">
        <f aca="false">Dynamics!F22</f>
        <v>15.9231692719673</v>
      </c>
      <c r="F22" s="14" t="n">
        <f aca="false">Dynamics!G22</f>
        <v>14.8668534315759</v>
      </c>
      <c r="G22" s="14" t="n">
        <f aca="false">Dynamics!H22</f>
        <v>13.4921951072574</v>
      </c>
      <c r="H22" s="14" t="n">
        <f aca="false">Dynamics!I22</f>
        <v>10.1105483361219</v>
      </c>
      <c r="I22" s="14" t="n">
        <f aca="false">Dynamics!J22</f>
        <v>4.90807920550523</v>
      </c>
      <c r="J22" s="14" t="n">
        <f aca="false">Dynamics!K22</f>
        <v>-1.95157894976559</v>
      </c>
      <c r="K22" s="14" t="n">
        <f aca="false">Dynamics!L22</f>
        <v>-9.88574737431104</v>
      </c>
      <c r="L22" s="14" t="n">
        <f aca="false">Dynamics!M22</f>
        <v>-17.9250900652382</v>
      </c>
    </row>
    <row r="23" customFormat="false" ht="15" hidden="false" customHeight="false" outlineLevel="0" collapsed="false">
      <c r="A23" s="1" t="s">
        <v>136</v>
      </c>
      <c r="B23" s="14" t="n">
        <f aca="false">Dynamics!C33</f>
        <v>5.99999</v>
      </c>
      <c r="C23" s="14" t="n">
        <f aca="false">Dynamics!D33</f>
        <v>2.72742585420384</v>
      </c>
      <c r="D23" s="14" t="n">
        <f aca="false">Dynamics!E33</f>
        <v>-0.687044382177469</v>
      </c>
      <c r="E23" s="14" t="n">
        <f aca="false">Dynamics!F33</f>
        <v>-5.1226528774809</v>
      </c>
      <c r="F23" s="14" t="n">
        <f aca="false">Dynamics!G33</f>
        <v>-6.71754882680935</v>
      </c>
      <c r="G23" s="14" t="n">
        <f aca="false">Dynamics!H33</f>
        <v>-8.47745752760774</v>
      </c>
      <c r="H23" s="14" t="n">
        <f aca="false">Dynamics!I33</f>
        <v>-10.3653151265349</v>
      </c>
      <c r="I23" s="14" t="n">
        <f aca="false">Dynamics!J33</f>
        <v>-12.3553943445216</v>
      </c>
      <c r="J23" s="14" t="n">
        <f aca="false">Dynamics!K33</f>
        <v>-14.9890780516042</v>
      </c>
      <c r="K23" s="14" t="n">
        <f aca="false">Dynamics!L33</f>
        <v>-18.2048877330867</v>
      </c>
      <c r="L23" s="14" t="n">
        <f aca="false">Dynamics!M33</f>
        <v>-21.9488224524888</v>
      </c>
    </row>
    <row r="24" customFormat="false" ht="15" hidden="false" customHeight="false" outlineLevel="0" collapsed="false">
      <c r="A24" s="1" t="s">
        <v>137</v>
      </c>
      <c r="B24" s="14" t="n">
        <f aca="false">Dynamics!C44</f>
        <v>2.2</v>
      </c>
      <c r="C24" s="14" t="n">
        <f aca="false">Dynamics!D44</f>
        <v>0.681171148245131</v>
      </c>
      <c r="D24" s="14" t="n">
        <f aca="false">Dynamics!E44</f>
        <v>-2.20515423602464</v>
      </c>
      <c r="E24" s="14" t="n">
        <f aca="false">Dynamics!F44</f>
        <v>-6.30151636580671</v>
      </c>
      <c r="F24" s="14" t="n">
        <f aca="false">Dynamics!G44</f>
        <v>-11.5224050476111</v>
      </c>
      <c r="G24" s="14" t="n">
        <f aca="false">Dynamics!H44</f>
        <v>-10.8197910228736</v>
      </c>
      <c r="H24" s="14" t="n">
        <f aca="false">Dynamics!I44</f>
        <v>-11.6610897044372</v>
      </c>
      <c r="I24" s="14" t="n">
        <f aca="false">Dynamics!J44</f>
        <v>-13.9899137684892</v>
      </c>
      <c r="J24" s="14" t="n">
        <f aca="false">Dynamics!K44</f>
        <v>-16.7593402892138</v>
      </c>
      <c r="K24" s="14" t="n">
        <f aca="false">Dynamics!L44</f>
        <v>-19.9292948679983</v>
      </c>
      <c r="L24" s="14" t="n">
        <f aca="false">Dynamics!M44</f>
        <v>-25.5145275981325</v>
      </c>
    </row>
    <row r="25" customFormat="false" ht="15" hidden="false" customHeight="false" outlineLevel="0" collapsed="false">
      <c r="A25" s="1" t="s">
        <v>138</v>
      </c>
      <c r="B25" s="14" t="n">
        <f aca="false">Dynamics!C55</f>
        <v>105</v>
      </c>
      <c r="C25" s="14" t="n">
        <f aca="false">Dynamics!D55</f>
        <v>86.6064143430177</v>
      </c>
      <c r="D25" s="14" t="n">
        <f aca="false">Dynamics!E55</f>
        <v>69.5052983197965</v>
      </c>
      <c r="E25" s="14" t="n">
        <f aca="false">Dynamics!F55</f>
        <v>58.336104996386</v>
      </c>
      <c r="F25" s="14" t="n">
        <f aca="false">Dynamics!G55</f>
        <v>46.9535484848695</v>
      </c>
      <c r="G25" s="14" t="n">
        <f aca="false">Dynamics!H55</f>
        <v>36.3205498918695</v>
      </c>
      <c r="H25" s="14" t="n">
        <f aca="false">Dynamics!I55</f>
        <v>25.2235948915211</v>
      </c>
      <c r="I25" s="14" t="n">
        <f aca="false">Dynamics!J55</f>
        <v>13.7162729083467</v>
      </c>
      <c r="J25" s="14" t="n">
        <f aca="false">Dynamics!K55</f>
        <v>1.84154858758484</v>
      </c>
      <c r="K25" s="14" t="n">
        <f aca="false">Dynamics!L55</f>
        <v>-10.0738030970129</v>
      </c>
      <c r="L25" s="14" t="n">
        <f aca="false">Dynamics!M55</f>
        <v>-21.4435669091441</v>
      </c>
    </row>
    <row r="26" customFormat="false" ht="15" hidden="false" customHeight="false" outlineLevel="0" collapsed="false">
      <c r="A26" s="1" t="s">
        <v>139</v>
      </c>
      <c r="B26" s="14" t="n">
        <f aca="false">Dynamics!C66</f>
        <v>10</v>
      </c>
      <c r="C26" s="14" t="n">
        <f aca="false">Dynamics!D66</f>
        <v>8.37162883592667</v>
      </c>
      <c r="D26" s="14" t="n">
        <f aca="false">Dynamics!E66</f>
        <v>6.16019010277503</v>
      </c>
      <c r="E26" s="14" t="n">
        <f aca="false">Dynamics!F66</f>
        <v>2.6255799950778</v>
      </c>
      <c r="F26" s="14" t="n">
        <f aca="false">Dynamics!G66</f>
        <v>-1.09136397431627</v>
      </c>
      <c r="G26" s="14" t="n">
        <f aca="false">Dynamics!H66</f>
        <v>-1.70936187487623</v>
      </c>
      <c r="H26" s="14" t="n">
        <f aca="false">Dynamics!I66</f>
        <v>-2.67655421635588</v>
      </c>
      <c r="I26" s="14" t="n">
        <f aca="false">Dynamics!J66</f>
        <v>-3.93861234613767</v>
      </c>
      <c r="J26" s="14" t="n">
        <f aca="false">Dynamics!K66</f>
        <v>-5.45419893574047</v>
      </c>
      <c r="K26" s="14" t="n">
        <f aca="false">Dynamics!L66</f>
        <v>-7.19079986554109</v>
      </c>
      <c r="L26" s="14" t="n">
        <f aca="false">Dynamics!M66</f>
        <v>-9.75192727522094</v>
      </c>
    </row>
    <row r="28" customFormat="false" ht="15" hidden="false" customHeight="false" outlineLevel="0" collapsed="false">
      <c r="A28" s="4" t="s">
        <v>140</v>
      </c>
    </row>
    <row r="29" customFormat="false" ht="15" hidden="false" customHeight="false" outlineLevel="0" collapsed="false">
      <c r="A29" s="1" t="s">
        <v>141</v>
      </c>
      <c r="B29" s="14" t="n">
        <f aca="false">Dynamics!C3</f>
        <v>234.99999</v>
      </c>
      <c r="C29" s="14" t="n">
        <f aca="false">Dynamics!D3</f>
        <v>219.255</v>
      </c>
      <c r="D29" s="14" t="n">
        <f aca="false">Dynamics!E3</f>
        <v>204.564915</v>
      </c>
      <c r="E29" s="14" t="n">
        <f aca="false">Dynamics!F3</f>
        <v>190.859065695</v>
      </c>
      <c r="F29" s="14" t="n">
        <f aca="false">Dynamics!G3</f>
        <v>178.071508293435</v>
      </c>
      <c r="G29" s="14" t="n">
        <f aca="false">Dynamics!H3</f>
        <v>166.140717237775</v>
      </c>
      <c r="H29" s="14" t="n">
        <f aca="false">Dynamics!I3</f>
        <v>155.009289182844</v>
      </c>
      <c r="I29" s="14" t="n">
        <f aca="false">Dynamics!J3</f>
        <v>144.623666807593</v>
      </c>
      <c r="J29" s="14" t="n">
        <f aca="false">Dynamics!K3</f>
        <v>134.933881131485</v>
      </c>
      <c r="K29" s="14" t="n">
        <f aca="false">Dynamics!L3</f>
        <v>125.893311095675</v>
      </c>
      <c r="L29" s="14" t="n">
        <f aca="false">Dynamics!M3</f>
        <v>117.458459252265</v>
      </c>
    </row>
    <row r="30" customFormat="false" ht="15" hidden="false" customHeight="false" outlineLevel="0" collapsed="false">
      <c r="A30" s="1" t="s">
        <v>142</v>
      </c>
      <c r="B30" s="14" t="n">
        <f aca="false">Dynamics!C14</f>
        <v>120</v>
      </c>
      <c r="C30" s="14" t="n">
        <f aca="false">Dynamics!D14</f>
        <v>111.96</v>
      </c>
      <c r="D30" s="14" t="n">
        <f aca="false">Dynamics!E14</f>
        <v>104.45868</v>
      </c>
      <c r="E30" s="14" t="n">
        <f aca="false">Dynamics!F14</f>
        <v>97.45994844</v>
      </c>
      <c r="F30" s="14" t="n">
        <f aca="false">Dynamics!G14</f>
        <v>90.93013189452</v>
      </c>
      <c r="G30" s="14" t="n">
        <f aca="false">Dynamics!H14</f>
        <v>84.8378130575872</v>
      </c>
      <c r="H30" s="14" t="n">
        <f aca="false">Dynamics!I14</f>
        <v>79.1536795827288</v>
      </c>
      <c r="I30" s="14" t="n">
        <f aca="false">Dynamics!J14</f>
        <v>73.850383050686</v>
      </c>
      <c r="J30" s="14" t="n">
        <f aca="false">Dynamics!K14</f>
        <v>68.9024073862901</v>
      </c>
      <c r="K30" s="14" t="n">
        <f aca="false">Dynamics!L14</f>
        <v>64.2859460914086</v>
      </c>
      <c r="L30" s="14" t="n">
        <f aca="false">Dynamics!M14</f>
        <v>59.9787877032843</v>
      </c>
    </row>
    <row r="31" customFormat="false" ht="15" hidden="false" customHeight="false" outlineLevel="0" collapsed="false">
      <c r="A31" s="1" t="s">
        <v>143</v>
      </c>
      <c r="B31" s="14" t="n">
        <f aca="false">Dynamics!C25</f>
        <v>39.999975</v>
      </c>
      <c r="C31" s="14" t="n">
        <f aca="false">Dynamics!D25</f>
        <v>37.32</v>
      </c>
      <c r="D31" s="14" t="n">
        <f aca="false">Dynamics!E25</f>
        <v>34.81956</v>
      </c>
      <c r="E31" s="14" t="n">
        <f aca="false">Dynamics!F25</f>
        <v>32.48664948</v>
      </c>
      <c r="F31" s="14" t="n">
        <f aca="false">Dynamics!G25</f>
        <v>30.31004396484</v>
      </c>
      <c r="G31" s="14" t="n">
        <f aca="false">Dynamics!H25</f>
        <v>28.2792710191957</v>
      </c>
      <c r="H31" s="14" t="n">
        <f aca="false">Dynamics!I25</f>
        <v>26.3845598609096</v>
      </c>
      <c r="I31" s="14" t="n">
        <f aca="false">Dynamics!J25</f>
        <v>24.6167943502287</v>
      </c>
      <c r="J31" s="14" t="n">
        <f aca="false">Dynamics!K25</f>
        <v>22.9674691287634</v>
      </c>
      <c r="K31" s="14" t="n">
        <f aca="false">Dynamics!L25</f>
        <v>21.4286486971362</v>
      </c>
      <c r="L31" s="14" t="n">
        <f aca="false">Dynamics!M25</f>
        <v>19.9929292344281</v>
      </c>
    </row>
    <row r="32" customFormat="false" ht="15" hidden="false" customHeight="false" outlineLevel="0" collapsed="false">
      <c r="A32" s="1" t="s">
        <v>144</v>
      </c>
      <c r="B32" s="14" t="n">
        <f aca="false">Dynamics!C36</f>
        <v>6</v>
      </c>
      <c r="C32" s="14" t="n">
        <f aca="false">Dynamics!D36</f>
        <v>5.598</v>
      </c>
      <c r="D32" s="14" t="n">
        <f aca="false">Dynamics!E36</f>
        <v>5.222934</v>
      </c>
      <c r="E32" s="14" t="n">
        <f aca="false">Dynamics!F36</f>
        <v>4.872997422</v>
      </c>
      <c r="F32" s="14" t="n">
        <f aca="false">Dynamics!G36</f>
        <v>4.546506594726</v>
      </c>
      <c r="G32" s="14" t="n">
        <f aca="false">Dynamics!H36</f>
        <v>4.24189065287936</v>
      </c>
      <c r="H32" s="14" t="n">
        <f aca="false">Dynamics!I36</f>
        <v>3.95768397913644</v>
      </c>
      <c r="I32" s="14" t="n">
        <f aca="false">Dynamics!J36</f>
        <v>3.6925191525343</v>
      </c>
      <c r="J32" s="14" t="n">
        <f aca="false">Dynamics!K36</f>
        <v>3.4451203693145</v>
      </c>
      <c r="K32" s="14" t="n">
        <f aca="false">Dynamics!L36</f>
        <v>3.21429730457043</v>
      </c>
      <c r="L32" s="14" t="n">
        <f aca="false">Dynamics!M36</f>
        <v>2.99893938516421</v>
      </c>
    </row>
    <row r="33" customFormat="false" ht="15" hidden="false" customHeight="false" outlineLevel="0" collapsed="false">
      <c r="A33" s="1" t="s">
        <v>145</v>
      </c>
      <c r="B33" s="14" t="n">
        <f aca="false">Dynamics!C47</f>
        <v>350</v>
      </c>
      <c r="C33" s="14" t="n">
        <f aca="false">Dynamics!D47</f>
        <v>326.55</v>
      </c>
      <c r="D33" s="14" t="n">
        <f aca="false">Dynamics!E47</f>
        <v>304.67115</v>
      </c>
      <c r="E33" s="14" t="n">
        <f aca="false">Dynamics!F47</f>
        <v>284.25818295</v>
      </c>
      <c r="F33" s="14" t="n">
        <f aca="false">Dynamics!G47</f>
        <v>265.21288469235</v>
      </c>
      <c r="G33" s="14" t="n">
        <f aca="false">Dynamics!H47</f>
        <v>247.443621417963</v>
      </c>
      <c r="H33" s="14" t="n">
        <f aca="false">Dynamics!I47</f>
        <v>230.864898782959</v>
      </c>
      <c r="I33" s="14" t="n">
        <f aca="false">Dynamics!J47</f>
        <v>215.396950564501</v>
      </c>
      <c r="J33" s="14" t="n">
        <f aca="false">Dynamics!K47</f>
        <v>200.965354876679</v>
      </c>
      <c r="K33" s="14" t="n">
        <f aca="false">Dynamics!L47</f>
        <v>187.500676099942</v>
      </c>
      <c r="L33" s="14" t="n">
        <f aca="false">Dynamics!M47</f>
        <v>174.938130801246</v>
      </c>
    </row>
    <row r="34" customFormat="false" ht="15" hidden="false" customHeight="false" outlineLevel="0" collapsed="false">
      <c r="A34" s="1" t="s">
        <v>146</v>
      </c>
      <c r="B34" s="14" t="n">
        <f aca="false">Dynamics!C58</f>
        <v>12</v>
      </c>
      <c r="C34" s="14" t="n">
        <f aca="false">Dynamics!D58</f>
        <v>11.196</v>
      </c>
      <c r="D34" s="14" t="n">
        <f aca="false">Dynamics!E58</f>
        <v>10.445868</v>
      </c>
      <c r="E34" s="14" t="n">
        <f aca="false">Dynamics!F58</f>
        <v>9.745994844</v>
      </c>
      <c r="F34" s="14" t="n">
        <f aca="false">Dynamics!G58</f>
        <v>9.093013189452</v>
      </c>
      <c r="G34" s="14" t="n">
        <f aca="false">Dynamics!H58</f>
        <v>8.48378130575872</v>
      </c>
      <c r="H34" s="14" t="n">
        <f aca="false">Dynamics!I58</f>
        <v>7.91536795827289</v>
      </c>
      <c r="I34" s="14" t="n">
        <f aca="false">Dynamics!J58</f>
        <v>7.3850383050686</v>
      </c>
      <c r="J34" s="14" t="n">
        <f aca="false">Dynamics!K58</f>
        <v>6.89024073862901</v>
      </c>
      <c r="K34" s="14" t="n">
        <f aca="false">Dynamics!L58</f>
        <v>6.42859460914087</v>
      </c>
      <c r="L34" s="14" t="n">
        <f aca="false">Dynamics!M58</f>
        <v>5.99787877032843</v>
      </c>
    </row>
    <row r="36" customFormat="false" ht="15" hidden="false" customHeight="false" outlineLevel="0" collapsed="false">
      <c r="A36" s="4" t="s">
        <v>147</v>
      </c>
    </row>
    <row r="37" customFormat="false" ht="15" hidden="false" customHeight="false" outlineLevel="0" collapsed="false">
      <c r="A37" s="1" t="s">
        <v>148</v>
      </c>
      <c r="B37" s="14" t="n">
        <f aca="false">Dynamics!C2</f>
        <v>235</v>
      </c>
      <c r="C37" s="14" t="n">
        <f aca="false">Dynamics!D2</f>
        <v>219.255</v>
      </c>
      <c r="D37" s="14" t="n">
        <f aca="false">Dynamics!E2</f>
        <v>204.564915</v>
      </c>
      <c r="E37" s="14" t="n">
        <f aca="false">Dynamics!F2</f>
        <v>190.859065695</v>
      </c>
      <c r="F37" s="14" t="n">
        <f aca="false">Dynamics!G2</f>
        <v>178.071508293435</v>
      </c>
      <c r="G37" s="14" t="n">
        <f aca="false">Dynamics!H2</f>
        <v>166.140717237775</v>
      </c>
      <c r="H37" s="14" t="n">
        <f aca="false">Dynamics!I2</f>
        <v>155.009289182844</v>
      </c>
      <c r="I37" s="14" t="n">
        <f aca="false">Dynamics!J2</f>
        <v>144.623666807593</v>
      </c>
      <c r="J37" s="14" t="n">
        <f aca="false">Dynamics!K2</f>
        <v>134.933881131485</v>
      </c>
      <c r="K37" s="14" t="n">
        <f aca="false">Dynamics!L2</f>
        <v>125.893311095675</v>
      </c>
      <c r="L37" s="14" t="n">
        <f aca="false">Dynamics!M2</f>
        <v>117.458459252265</v>
      </c>
    </row>
    <row r="38" customFormat="false" ht="15" hidden="false" customHeight="false" outlineLevel="0" collapsed="false">
      <c r="A38" s="1" t="s">
        <v>149</v>
      </c>
      <c r="B38" s="14" t="n">
        <f aca="false">Dynamics!C13</f>
        <v>120</v>
      </c>
      <c r="C38" s="14" t="n">
        <f aca="false">Dynamics!D13</f>
        <v>111.96</v>
      </c>
      <c r="D38" s="14" t="n">
        <f aca="false">Dynamics!E13</f>
        <v>104.45868</v>
      </c>
      <c r="E38" s="14" t="n">
        <f aca="false">Dynamics!F13</f>
        <v>97.45994844</v>
      </c>
      <c r="F38" s="14" t="n">
        <f aca="false">Dynamics!G13</f>
        <v>90.93013189452</v>
      </c>
      <c r="G38" s="14" t="n">
        <f aca="false">Dynamics!H13</f>
        <v>84.8378130575872</v>
      </c>
      <c r="H38" s="14" t="n">
        <f aca="false">Dynamics!I13</f>
        <v>79.1536795827288</v>
      </c>
      <c r="I38" s="14" t="n">
        <f aca="false">Dynamics!J13</f>
        <v>73.850383050686</v>
      </c>
      <c r="J38" s="14" t="n">
        <f aca="false">Dynamics!K13</f>
        <v>68.9024073862901</v>
      </c>
      <c r="K38" s="14" t="n">
        <f aca="false">Dynamics!L13</f>
        <v>64.2859460914086</v>
      </c>
      <c r="L38" s="14" t="n">
        <f aca="false">Dynamics!M13</f>
        <v>59.9787877032843</v>
      </c>
    </row>
    <row r="39" customFormat="false" ht="15" hidden="false" customHeight="false" outlineLevel="0" collapsed="false">
      <c r="A39" s="1" t="s">
        <v>150</v>
      </c>
      <c r="B39" s="14" t="n">
        <f aca="false">Dynamics!C24</f>
        <v>40</v>
      </c>
      <c r="C39" s="14" t="n">
        <f aca="false">Dynamics!D24</f>
        <v>37.32</v>
      </c>
      <c r="D39" s="14" t="n">
        <f aca="false">Dynamics!E24</f>
        <v>34.81956</v>
      </c>
      <c r="E39" s="14" t="n">
        <f aca="false">Dynamics!F24</f>
        <v>32.48664948</v>
      </c>
      <c r="F39" s="14" t="n">
        <f aca="false">Dynamics!G24</f>
        <v>30.31004396484</v>
      </c>
      <c r="G39" s="14" t="n">
        <f aca="false">Dynamics!H24</f>
        <v>28.2792710191957</v>
      </c>
      <c r="H39" s="14" t="n">
        <f aca="false">Dynamics!I24</f>
        <v>26.3845598609096</v>
      </c>
      <c r="I39" s="14" t="n">
        <f aca="false">Dynamics!J24</f>
        <v>24.6167943502287</v>
      </c>
      <c r="J39" s="14" t="n">
        <f aca="false">Dynamics!K24</f>
        <v>22.9674691287634</v>
      </c>
      <c r="K39" s="14" t="n">
        <f aca="false">Dynamics!L24</f>
        <v>21.4286486971362</v>
      </c>
      <c r="L39" s="14" t="n">
        <f aca="false">Dynamics!M24</f>
        <v>19.9929292344281</v>
      </c>
    </row>
    <row r="40" customFormat="false" ht="15" hidden="false" customHeight="false" outlineLevel="0" collapsed="false">
      <c r="A40" s="1" t="s">
        <v>151</v>
      </c>
      <c r="B40" s="14" t="n">
        <f aca="false">Dynamics!C35</f>
        <v>6</v>
      </c>
      <c r="C40" s="14" t="n">
        <f aca="false">Dynamics!D35</f>
        <v>5.598</v>
      </c>
      <c r="D40" s="14" t="n">
        <f aca="false">Dynamics!E35</f>
        <v>5.222934</v>
      </c>
      <c r="E40" s="14" t="n">
        <f aca="false">Dynamics!F35</f>
        <v>4.872997422</v>
      </c>
      <c r="F40" s="14" t="n">
        <f aca="false">Dynamics!G35</f>
        <v>4.546506594726</v>
      </c>
      <c r="G40" s="14" t="n">
        <f aca="false">Dynamics!H35</f>
        <v>4.24189065287936</v>
      </c>
      <c r="H40" s="14" t="n">
        <f aca="false">Dynamics!I35</f>
        <v>3.95768397913644</v>
      </c>
      <c r="I40" s="14" t="n">
        <f aca="false">Dynamics!J35</f>
        <v>3.6925191525343</v>
      </c>
      <c r="J40" s="14" t="n">
        <f aca="false">Dynamics!K35</f>
        <v>3.4451203693145</v>
      </c>
      <c r="K40" s="14" t="n">
        <f aca="false">Dynamics!L35</f>
        <v>3.21429730457043</v>
      </c>
      <c r="L40" s="14" t="n">
        <f aca="false">Dynamics!M35</f>
        <v>2.99893938516421</v>
      </c>
    </row>
    <row r="41" customFormat="false" ht="15" hidden="false" customHeight="false" outlineLevel="0" collapsed="false">
      <c r="A41" s="1" t="s">
        <v>152</v>
      </c>
      <c r="B41" s="14" t="n">
        <f aca="false">Dynamics!C46</f>
        <v>350</v>
      </c>
      <c r="C41" s="14" t="n">
        <f aca="false">Dynamics!D46</f>
        <v>326.55</v>
      </c>
      <c r="D41" s="14" t="n">
        <f aca="false">Dynamics!E46</f>
        <v>304.67115</v>
      </c>
      <c r="E41" s="14" t="n">
        <f aca="false">Dynamics!F46</f>
        <v>284.25818295</v>
      </c>
      <c r="F41" s="14" t="n">
        <f aca="false">Dynamics!G46</f>
        <v>265.21288469235</v>
      </c>
      <c r="G41" s="14" t="n">
        <f aca="false">Dynamics!H46</f>
        <v>247.443621417963</v>
      </c>
      <c r="H41" s="14" t="n">
        <f aca="false">Dynamics!I46</f>
        <v>230.864898782959</v>
      </c>
      <c r="I41" s="14" t="n">
        <f aca="false">Dynamics!J46</f>
        <v>215.396950564501</v>
      </c>
      <c r="J41" s="14" t="n">
        <f aca="false">Dynamics!K46</f>
        <v>200.965354876679</v>
      </c>
      <c r="K41" s="14" t="n">
        <f aca="false">Dynamics!L46</f>
        <v>187.500676099942</v>
      </c>
      <c r="L41" s="14" t="n">
        <f aca="false">Dynamics!M46</f>
        <v>174.938130801246</v>
      </c>
    </row>
    <row r="42" customFormat="false" ht="15" hidden="false" customHeight="false" outlineLevel="0" collapsed="false">
      <c r="A42" s="1" t="s">
        <v>153</v>
      </c>
      <c r="B42" s="14" t="n">
        <f aca="false">Dynamics!C57</f>
        <v>12</v>
      </c>
      <c r="C42" s="14" t="n">
        <f aca="false">Dynamics!D57</f>
        <v>11.196</v>
      </c>
      <c r="D42" s="14" t="n">
        <f aca="false">Dynamics!E57</f>
        <v>10.445868</v>
      </c>
      <c r="E42" s="14" t="n">
        <f aca="false">Dynamics!F57</f>
        <v>9.745994844</v>
      </c>
      <c r="F42" s="14" t="n">
        <f aca="false">Dynamics!G57</f>
        <v>9.093013189452</v>
      </c>
      <c r="G42" s="14" t="n">
        <f aca="false">Dynamics!H57</f>
        <v>8.48378130575872</v>
      </c>
      <c r="H42" s="14" t="n">
        <f aca="false">Dynamics!I57</f>
        <v>7.91536795827289</v>
      </c>
      <c r="I42" s="14" t="n">
        <f aca="false">Dynamics!J57</f>
        <v>7.3850383050686</v>
      </c>
      <c r="J42" s="14" t="n">
        <f aca="false">Dynamics!K57</f>
        <v>6.89024073862901</v>
      </c>
      <c r="K42" s="14" t="n">
        <f aca="false">Dynamics!L57</f>
        <v>6.42859460914087</v>
      </c>
      <c r="L42" s="14" t="n">
        <f aca="false">Dynamics!M57</f>
        <v>5.99787877032843</v>
      </c>
    </row>
    <row r="45" customFormat="false" ht="15" hidden="false" customHeight="false" outlineLevel="0" collapsed="false">
      <c r="A45" s="4" t="s">
        <v>154</v>
      </c>
    </row>
    <row r="46" customFormat="false" ht="15" hidden="false" customHeight="false" outlineLevel="0" collapsed="false">
      <c r="A46" s="1" t="s">
        <v>116</v>
      </c>
      <c r="B46" s="19" t="n">
        <f aca="false">Financials!B15</f>
        <v>0.0949</v>
      </c>
    </row>
    <row r="47" customFormat="false" ht="15" hidden="false" customHeight="false" outlineLevel="0" collapsed="false">
      <c r="A47" s="1" t="s">
        <v>155</v>
      </c>
      <c r="B47" s="14" t="n">
        <f aca="false">Financials!B22</f>
        <v>-498.818377299643</v>
      </c>
    </row>
    <row r="48" customFormat="false" ht="15" hidden="false" customHeight="false" outlineLevel="0" collapsed="false">
      <c r="A48" s="1" t="s">
        <v>123</v>
      </c>
      <c r="B48" s="21" t="n">
        <f aca="false">Financials!B25</f>
        <v>340.871129516373</v>
      </c>
    </row>
    <row r="49" customFormat="false" ht="15" hidden="false" customHeight="false" outlineLevel="0" collapsed="false">
      <c r="A49" s="1" t="s">
        <v>124</v>
      </c>
      <c r="B49" s="21" t="n">
        <f aca="false">Financials!B26</f>
        <v>139.406927689273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2026-04-14T21:21:30Z</dcterms:created>
  <dc:creator>openpyxl</dc:creator>
  <dc:description/>
  <dc:language>en-US</dc:language>
  <cp:lastModifiedBy/>
  <dcterms:modified xsi:type="dcterms:W3CDTF">2026-04-14T21:21:30Z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